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воды" sheetId="1" r:id="rId1"/>
    <sheet name="Юнит" sheetId="2" r:id="rId2"/>
    <sheet name="Портфель" sheetId="3" r:id="rId3"/>
    <sheet name="Барьер" sheetId="4" r:id="rId4"/>
    <sheet name="Масштаб" sheetId="5" r:id="rId5"/>
    <sheet name="Финансирование" sheetId="6" r:id="rId6"/>
    <sheet name="Источники" sheetId="7" r:id="rId7"/>
    <sheet name="Как пользоваться" sheetId="8" r:id="rId8"/>
  </sheets>
  <definedNames>
    <definedName name="bank_spread">Вводы!$B$9</definedName>
    <definedName name="c_days_b">Вводы!$B$39</definedName>
    <definedName name="c_days_c">Вводы!$B$37</definedName>
    <definedName name="c_days_o">Вводы!$B$41</definedName>
    <definedName name="c_rate_b">Вводы!$B$38*(1+vat)*fx</definedName>
    <definedName name="c_rate_c">Вводы!$B$36*(1+vat)*fx</definedName>
    <definedName name="c_rate_o">Вводы!$B$40*(1+vat)*fx</definedName>
    <definedName name="fx">Вводы!$B$3</definedName>
    <definedName name="g_days_b">Вводы!$B$33</definedName>
    <definedName name="g_days_c">Вводы!$B$31</definedName>
    <definedName name="g_days_o">Вводы!$B$35</definedName>
    <definedName name="g_rate_b">Вводы!$B$32*(1+vat)*fx</definedName>
    <definedName name="g_rate_c">Вводы!$B$30*(1+vat)*fx</definedName>
    <definedName name="g_rate_o">Вводы!$B$34*(1+vat)*fx</definedName>
    <definedName name="ins">Вводы!$B$7</definedName>
    <definedName name="life">Вводы!$B$5</definedName>
    <definedName name="life_hopper">Вводы!$B$16</definedName>
    <definedName name="life_used">Вводы!$B$26</definedName>
    <definedName name="loan_share">Вводы!$B$10</definedName>
    <definedName name="loan_years">Вводы!$B$11</definedName>
    <definedName name="maint_covered">Вводы!$B$23*(1+vat)*fx</definedName>
    <definedName name="maint_gondola">Вводы!$B$24*(1+vat)*fx</definedName>
    <definedName name="maint_grain">Вводы!$B$22*(1+vat)*fx</definedName>
    <definedName name="maint_used_uplift">Вводы!$B$25</definedName>
    <definedName name="nbk">Вводы!$B$8</definedName>
    <definedName name="overhead_100">Вводы!$B$13</definedName>
    <definedName name="overhead_300">Вводы!$B$14</definedName>
    <definedName name="overhead_500">Вводы!$B$15</definedName>
    <definedName name="overhead_small">Вводы!$B$12</definedName>
    <definedName name="p_days_b">Вводы!$B$45</definedName>
    <definedName name="p_days_c">Вводы!$B$43</definedName>
    <definedName name="p_days_o">Вводы!$B$47</definedName>
    <definedName name="p_rate_b">Вводы!$B$44*(1+vat)*fx</definedName>
    <definedName name="p_rate_c">Вводы!$B$42*(1+vat)*fx</definedName>
    <definedName name="p_rate_o">Вводы!$B$46*(1+vat)*fx</definedName>
    <definedName name="price_covered">Вводы!$B$19*(1+vat)*fx</definedName>
    <definedName name="price_gondola">Вводы!$B$20*(1+vat)*fx</definedName>
    <definedName name="price_grain">Вводы!$B$18*(1+vat)*fx</definedName>
    <definedName name="q1_covered">Вводы!$B$51</definedName>
    <definedName name="q1_gondola">Вводы!$B$52</definedName>
    <definedName name="q1_grain">Вводы!$B$50</definedName>
    <definedName name="q2_covered">Вводы!$B$54</definedName>
    <definedName name="q2_gondola">Вводы!$B$55</definedName>
    <definedName name="q2_grain">Вводы!$B$53</definedName>
    <definedName name="residual">Вводы!$B$6</definedName>
    <definedName name="tax">Вводы!$B$4</definedName>
    <definedName name="used_coef">Вводы!$B$21</definedName>
    <definedName name="vat">Вводы!$B$58</definedName>
  </definedNames>
  <calcPr calcId="124519" fullCalcOnLoad="1"/>
</workbook>
</file>

<file path=xl/sharedStrings.xml><?xml version="1.0" encoding="utf-8"?>
<sst xmlns="http://schemas.openxmlformats.org/spreadsheetml/2006/main" count="307" uniqueCount="258">
  <si>
    <t>Вводы модели — жёлтые ячейки можно менять</t>
  </si>
  <si>
    <t>Параметр</t>
  </si>
  <si>
    <t>Значение</t>
  </si>
  <si>
    <t>Единица</t>
  </si>
  <si>
    <t>Что это и откуда</t>
  </si>
  <si>
    <t>fx</t>
  </si>
  <si>
    <t>тенге за 1 рубль</t>
  </si>
  <si>
    <t>Официальный курс НБК на 8 октября 2026: 5,24 тенге за рубль</t>
  </si>
  <si>
    <t>tax</t>
  </si>
  <si>
    <t>доля</t>
  </si>
  <si>
    <t>Базовая ставка КПН с 2026 года, НК РК</t>
  </si>
  <si>
    <t>life</t>
  </si>
  <si>
    <t>лет</t>
  </si>
  <si>
    <t>Срок службы крытого 11-1268 по КП и платформы 13-6953 по опубликованной характеристике. Хоппер 19-3255 — отдельная ячейка life_hopper, 30 лет</t>
  </si>
  <si>
    <t>residual</t>
  </si>
  <si>
    <t>доля цены</t>
  </si>
  <si>
    <t>Допущение: остаточная стоимость в конце срока службы</t>
  </si>
  <si>
    <t>ins</t>
  </si>
  <si>
    <t>доля цены в год</t>
  </si>
  <si>
    <t>Допущение: страхование 0,35% стоимости в год</t>
  </si>
  <si>
    <t>nbk</t>
  </si>
  <si>
    <t>Базовая ставка НБК с 7 сентября 2026, коридор ±1 п.п.</t>
  </si>
  <si>
    <t>bank_spread</t>
  </si>
  <si>
    <t>Допущение: надбавка банка к базовой ставке. Это не оферта</t>
  </si>
  <si>
    <t>loan_share</t>
  </si>
  <si>
    <t>Доля долга в сравнении «покупка / кредит»</t>
  </si>
  <si>
    <t>loan_years</t>
  </si>
  <si>
    <t>Срок кредита в модели</t>
  </si>
  <si>
    <t>overhead_small</t>
  </si>
  <si>
    <t>тенге в год</t>
  </si>
  <si>
    <t>В расчёте не учтены. Затраты на офис в базу не входят: ячейка равна нулю. Впишите сумму в тенге, если нужно увидеть экономику с офисом.</t>
  </si>
  <si>
    <t>overhead_100</t>
  </si>
  <si>
    <t>В расчёте не учтены. См. overhead_small.</t>
  </si>
  <si>
    <t>overhead_300</t>
  </si>
  <si>
    <t>overhead_500</t>
  </si>
  <si>
    <t>vat</t>
  </si>
  <si>
    <t>НДС Казахстана 16% с 2026 года. Жёлтые цены КП и ставки заданы без НДС: расчётные имена умножают их на (1+vat)×курс. Если в жёлтой ячейке сумма уже с НДС, поставьте vat = 0 — останется только курс.</t>
  </si>
  <si>
    <t>life_hopper</t>
  </si>
  <si>
    <t>КП ТОО «Railway Alliance» от 08.10.2026, модель 19-3255: назначенный срок службы 30 лет</t>
  </si>
  <si>
    <t>Цены и содержание одного вагона</t>
  </si>
  <si>
    <t>Хоппер 19-3255, цена нового, руб. FCA</t>
  </si>
  <si>
    <t>КП ТОО «Railway Alliance» исх. № 183 от 08.10.2026 для ТОО «Integra Logistics»: 4 450 000 руб. FCA, самовывоз. НДС в КП не оговорён</t>
  </si>
  <si>
    <t>Крытый 11-1268, цена нового, руб. FCA</t>
  </si>
  <si>
    <t>То же КП: 4 950 000 руб. FCA. Большекубовый крытый 174 м³, 4 люка на крыше</t>
  </si>
  <si>
    <t>Платформа 13-6953, цена нового, руб. FCA</t>
  </si>
  <si>
    <t>То же КП: 4 300 000 руб. FCA. Фитинговая платформа под контейнеры и танк-контейнеры, рама 13,4 м</t>
  </si>
  <si>
    <t>Цена б/у к цене нового</t>
  </si>
  <si>
    <t>Допущение: открытого индекса вторичного рынка на октябрь 2026 нет</t>
  </si>
  <si>
    <t>Содержание хоппера 19-3255, руб./год</t>
  </si>
  <si>
    <t>Сборка как у крытого хоппера: ДР около 130 тыс. без запчастей (2025) + допущение по запчастям, КР 400–500 тыс. раз в 12 лет. Отдельной калькуляции ремонта 19-3255 в открытом доступе нет</t>
  </si>
  <si>
    <t>Содержание крытого 11-1268, руб./год</t>
  </si>
  <si>
    <t>Та же логика, КР крытого 450–600 тыс.</t>
  </si>
  <si>
    <t>Содержание платформы 13-6953, руб./год</t>
  </si>
  <si>
    <t>Допущение, не суточная ставка ОЖдПС. ДР 130 тыс. без запчастей раз в 3 года, запчасти приняты равными работе, КР на уровне хоппера 400 тыс. раз в 12 лет, колёса — допущение. 879 ₽/сутки относятся к полувагону и сюда не переносятся</t>
  </si>
  <si>
    <t>Надбавка к ремонту б/у</t>
  </si>
  <si>
    <t>Допущение: б/у дороже в содержании на 20%</t>
  </si>
  <si>
    <t>Остаточный срок б/у, лет</t>
  </si>
  <si>
    <t>Допущение для вагона примерно середины срока службы</t>
  </si>
  <si>
    <t>Ставка и дни, когда ставка зарабатывается</t>
  </si>
  <si>
    <t>Жёлтая ставка — руб./сутки без НДС, как в источнике. В расчёте она становится тенге с НДС 16%. Дни — сколько суток в году вагон приносит ставку. Содержание платится за весь год. Порожний рейс платит грузоотправитель.</t>
  </si>
  <si>
    <t>Хоппер 19-3255, консервативная ставка</t>
  </si>
  <si>
    <t>Хоппер 19-3255, консервативные дни</t>
  </si>
  <si>
    <t>Хоппер 19-3255, базовая ставка — зерно</t>
  </si>
  <si>
    <t>Хоппер 19-3255, базовые дни</t>
  </si>
  <si>
    <t>Хоппер 19-3255, оптимистичная ставка</t>
  </si>
  <si>
    <t>Хоппер 19-3255, оптимистичные дни</t>
  </si>
  <si>
    <t>Крытый, консервативная ставка</t>
  </si>
  <si>
    <t>Крытый, консервативные дни</t>
  </si>
  <si>
    <t>Крытый, базовая ставка — ДОПУЩЕНИЕ</t>
  </si>
  <si>
    <t>Крытый, базовые дни</t>
  </si>
  <si>
    <t>Крытый, оптимистичная ставка</t>
  </si>
  <si>
    <t>Крытый, оптимистичные дни</t>
  </si>
  <si>
    <t>Платформа 13-6953, консервативная ставка</t>
  </si>
  <si>
    <t>Платформа 13-6953, консервативные дни</t>
  </si>
  <si>
    <t>Платформа 13-6953, базовая ставка</t>
  </si>
  <si>
    <t>Платформа 13-6953, базовые дни</t>
  </si>
  <si>
    <t>Платформа 13-6953, оптимистичная ставка</t>
  </si>
  <si>
    <t>Платформа 13-6953, оптимистичные дни</t>
  </si>
  <si>
    <t>Груз хоппера 19-3255 для расчёта — зерно: так задано заказчиком. В тексте КП груз модели не напечатан. Ставка 1 700 руб./сутки без НДС — базовый ориентир зернового ряда, ниже июльской аренды 1 910 и ниже августовского спота 2 300–3 500. С февраля длинные контракты не заключаются.</t>
  </si>
  <si>
    <t>Последняя открытая абсолютная ставка крытого — Argus, октябрь 2024: 138 м³ 2 620–2 710 ₽, 158 м³ 2 750–2 890 ₽. ИЦО в 2025–2026 публикует только направление: ставка снижается. 1 500 ₽ для большекубового 11-1268 (174 м³) — допущение ниже печати 2024 года, не котировка.</t>
  </si>
  <si>
    <t>13-6953 — фитинговая платформа с рамой 13,4 м, класс 40 футов. База 1 100 ₽ — индикатив ЦЦИ на 40-футовую платформу в июле 2026, без НДС. Консерватив 700 ₽ — верх спота августа 2025 (ИЦО: 500–700). Оптимум 1 500 ₽ — верх длинного контракта лета 2026, не дальневосточный спот 2 000–2 500.</t>
  </si>
  <si>
    <t>Размер парка для расчёта портфеля</t>
  </si>
  <si>
    <t>Заказ из КП: хопперы 19-3255</t>
  </si>
  <si>
    <t>Заказ из КП: крытые 11-1268</t>
  </si>
  <si>
    <t>Заказ из КП: платформы 13-6953</t>
  </si>
  <si>
    <t>Удвоенный заказ: хопперы</t>
  </si>
  <si>
    <t>Удвоенный заказ: крытые</t>
  </si>
  <si>
    <t>Удвоенный заказ: платформы</t>
  </si>
  <si>
    <t>Портфель 1 — ровно заказ: 10 хопперов 19-3255, 10 крытых 11-1268, 10 платформ 13-6953. Портфель 2 — тот же набор, удвоенный. Полувагонов в заказе нет.</t>
  </si>
  <si>
    <t>Как считается один вагон</t>
  </si>
  <si>
    <t>Выручка = ставка × дни коммерческого использования. Содержание и страхование платятся за год целиком. EBITDA = выручка − содержание − страхование. Амортизация линейная до остаточной стоимости. Налог = 20% × max(EBITDA − амортизация; 0). Денежный поток после налога = EBITDA − налог. Простая окупаемость = цена / EBITDA. IRR считается на всём оставшемся сроке службы, в последнем году возвращается остаточная стоимость. ROI — годовой денежный поток после налога, делённый на цену. NPV дисконтирует те же потоки по базовой ставке НБК. Инфраструктурный тариф КТЖ и порожний пробег в этой модели платит грузоотправитель: собственник получает только ставку предоставления. Если порожний тариф переложен на собственника, результат будет хуже.</t>
  </si>
  <si>
    <t>Экономика одного нового вагона</t>
  </si>
  <si>
    <t>Показатель</t>
  </si>
  <si>
    <t>19-3255 конс.</t>
  </si>
  <si>
    <t>19-3255 база</t>
  </si>
  <si>
    <t>19-3255 опт.</t>
  </si>
  <si>
    <t>11-1268 конс.</t>
  </si>
  <si>
    <t>11-1268 база</t>
  </si>
  <si>
    <t>11-1268 опт.</t>
  </si>
  <si>
    <t>Цена, тенге с НДС</t>
  </si>
  <si>
    <t>Ставка, тенге/сутки с НДС</t>
  </si>
  <si>
    <t>Дни со ставкой</t>
  </si>
  <si>
    <t>Выручка, тенге/год</t>
  </si>
  <si>
    <t>Содержание, тенге/год</t>
  </si>
  <si>
    <t>Страхование, тенге/год</t>
  </si>
  <si>
    <t>OPEX, тенге/год</t>
  </si>
  <si>
    <t>EBITDA, тенге/год</t>
  </si>
  <si>
    <t>Амортизация, тенге/год</t>
  </si>
  <si>
    <t>Прибыль до налога</t>
  </si>
  <si>
    <t>КПН</t>
  </si>
  <si>
    <t>Чистая прибыль</t>
  </si>
  <si>
    <t>Денежный поток после налога</t>
  </si>
  <si>
    <t>Окупаемость по EBITDA, лет</t>
  </si>
  <si>
    <t>Окупаемость по ден. потоку, лет</t>
  </si>
  <si>
    <t>EBITDA-маржа</t>
  </si>
  <si>
    <t>IRR на срок службы</t>
  </si>
  <si>
    <t>ROI, денежный поток / цена</t>
  </si>
  <si>
    <t>NPV при ставке НБК, тенге</t>
  </si>
  <si>
    <t>Денежные потоки для IRR (год 0 — покупка, последний год + остаток)</t>
  </si>
  <si>
    <t>Платформа 13-6953</t>
  </si>
  <si>
    <t>Консервативный</t>
  </si>
  <si>
    <t>Базовый</t>
  </si>
  <si>
    <t>Оптимистичный</t>
  </si>
  <si>
    <t>Выручка</t>
  </si>
  <si>
    <t>Содержание</t>
  </si>
  <si>
    <t>Страхование</t>
  </si>
  <si>
    <t>OPEX</t>
  </si>
  <si>
    <t>EBITDA</t>
  </si>
  <si>
    <t>Амортизация</t>
  </si>
  <si>
    <t>Потоки полувагона для IRR и NPV начинаются в столбцах I–K, строки 41–73. Годы после остаточного срока б/у на листе «Барьер» остаются пустыми: Excel их в IRR не включает.</t>
  </si>
  <si>
    <t>Заказ из КП и тот же заказ, удвоенный. Базовый сценарий</t>
  </si>
  <si>
    <t>EBITDA одного вагона берётся из листа «Юнит»: хоппер 19-3255 — C11, крытый 11-1268 — F11, платформа 13-6953 — C31. Груз хоппера — зерно. Офис в базе равен нулю.</t>
  </si>
  <si>
    <t>10 + 10 + 10</t>
  </si>
  <si>
    <t>20 + 20 + 20</t>
  </si>
  <si>
    <t>Зерновозы, шт.</t>
  </si>
  <si>
    <t>Крытые, шт.</t>
  </si>
  <si>
    <t>Полувагоны, шт.</t>
  </si>
  <si>
    <t>CAPEX, тенге с НДС</t>
  </si>
  <si>
    <t>CAPEX, млн тенге</t>
  </si>
  <si>
    <t>EBITDA вагонов, тенге/год</t>
  </si>
  <si>
    <t>Офис, тенге/год — в базе ноль</t>
  </si>
  <si>
    <t>EBITDA после офиса</t>
  </si>
  <si>
    <t>Окупаемость вагонов без офиса, лет</t>
  </si>
  <si>
    <t>Окупаемость с офисом, лет</t>
  </si>
  <si>
    <t>Затраты на офис в этих цифрах не учтены: overhead_small = 0. Любой реальный офис уменьшит EBITDA и удлинит окупаемость. Порожний рейс платит грузоотправитель. Доставка и приёмка сверх FCA в цену не входят.</t>
  </si>
  <si>
    <t>Тот же парк в оптимистичном сценарии</t>
  </si>
  <si>
    <t>Какая ставка нужна, чтобы вагон окупился</t>
  </si>
  <si>
    <t>Считается при базовом числе дней. Ставка безубыточности покрывает содержание и страхование, но не возвращает цену вагона.</t>
  </si>
  <si>
    <t>Порог</t>
  </si>
  <si>
    <t>Хоппер 19-3255</t>
  </si>
  <si>
    <t>Крытый 11-1268</t>
  </si>
  <si>
    <t>Дни базового сценария</t>
  </si>
  <si>
    <t>Ставка денежной безубыточности, тенге/сутки</t>
  </si>
  <si>
    <t>Ставка для окупаемости 8 лет</t>
  </si>
  <si>
    <t>Ставка для окупаемости 10 лет</t>
  </si>
  <si>
    <t>Ставка для окупаемости 12 лет</t>
  </si>
  <si>
    <t>Ставка для окупаемости 15 лет</t>
  </si>
  <si>
    <t>Рыночный ориентир, тенге/сутки с НДС</t>
  </si>
  <si>
    <t>11 610, аренда июля 2025</t>
  </si>
  <si>
    <t>печать 2024: 16,7–17,6 тыс.</t>
  </si>
  <si>
    <t>Рыночный ориентир зерновоза — аренда июля 2025, 1 910 руб./сутки («Паровоз Лизинг»), не августовский спот. Полувагон — долгосрочная аренда августа 2025, 900 руб./сутки (ИЦО). Крытый ориентир в открытом источнике отсутствует.</t>
  </si>
  <si>
    <t>Б/у хоппер 19-3255: цена = цена нового × used_coef, содержание × (1+maint_used_uplift), срок = life_used. Это не цена из КП: КП даёт только новый вагон. Коэффициент 50% — допущение.</t>
  </si>
  <si>
    <t>Б/у хоппер 19-3255</t>
  </si>
  <si>
    <t>База</t>
  </si>
  <si>
    <t>IRR на остаточный срок</t>
  </si>
  <si>
    <t>Потоки б/у для IRR: год 0 в строке 40, дальше пустая ячейка после life_used.</t>
  </si>
  <si>
    <t>Б/у база</t>
  </si>
  <si>
    <t>Б/у оптимум</t>
  </si>
  <si>
    <t>Парк 20 / 50 / 100 / 300 / 500 в базовом сценарии</t>
  </si>
  <si>
    <t>Смешанный парк повторяет заказ: по трети хопперов 19-3255, крытых 11-1268 и платформ 13-6953. Рядом — парк только из зерновых хопперов. Офис в базе равен нулю.</t>
  </si>
  <si>
    <t>Постоянные расходы, тенге</t>
  </si>
  <si>
    <t>Офис в расчёте, тенге (сейчас 0)</t>
  </si>
  <si>
    <t>Смешанный парк: CAPEX, тенге с НДС</t>
  </si>
  <si>
    <t>Смешанный парк: EBITDA вагонов</t>
  </si>
  <si>
    <t>Смешанный парк: EBITDA после офиса</t>
  </si>
  <si>
    <t>Только хопперы 19-3255: CAPEX, тенге с НДС</t>
  </si>
  <si>
    <t>Только хопперы: EBITDA вагонов</t>
  </si>
  <si>
    <t>Только хопперы: EBITDA после офиса</t>
  </si>
  <si>
    <t>Масштаб не лечит слабую единицу. Если один вагон не покрывает стоимость денег, пятьсот вагонов увеличивают и выручку, и замороженный капитал.</t>
  </si>
  <si>
    <t>Покупка, кредит, лизинг — один новый зерновой хоппер 19-3255, базовый сценарий, тенге с НДС</t>
  </si>
  <si>
    <t>Свои деньги</t>
  </si>
  <si>
    <t>Кредит 50%</t>
  </si>
  <si>
    <t>Фин. лизинг</t>
  </si>
  <si>
    <t>Операционная аренда</t>
  </si>
  <si>
    <t>Цена / объём финансирования, тенге с НДС</t>
  </si>
  <si>
    <t>0, вагон не покупается</t>
  </si>
  <si>
    <t>Собственный капитал на старте, тенге</t>
  </si>
  <si>
    <t>Депозит 2 месяца ставки</t>
  </si>
  <si>
    <t>Ставка долга</t>
  </si>
  <si>
    <t>—</t>
  </si>
  <si>
    <t>рыночная аренда</t>
  </si>
  <si>
    <t>Платёж в год, тенге</t>
  </si>
  <si>
    <t>EBITDA базового зерновоза</t>
  </si>
  <si>
    <t>Спреда нет, если сдаёте по той же ставке</t>
  </si>
  <si>
    <t>EBITDA − долговой платёж</t>
  </si>
  <si>
    <t>DSCR (EBITDA / платёж)</t>
  </si>
  <si>
    <t>Денежная доходность на собственный капитал</t>
  </si>
  <si>
    <t>Платёж в месяц, тенге</t>
  </si>
  <si>
    <t>Операционная аренда в столбце E — это отказ от покупки: вы платите рыночную ставку и не несёте остаточный риск. При текущем рынке спред пересдачи близок к нулю. Финансовый лизинг в модели: аванс 20%, ставка 22% годовых, срок 7 лет — допущение, не коммерческое предложение лизинговой компании. Кредит: базовый 16,25% + надбавка 5 п.п. Месячный платёж — аннуитет. Доходность на капитал здесь денежная: (EBITDA − долговой платёж) / собственные деньги на старте. Это не бухгалтерский ROE.</t>
  </si>
  <si>
    <t>Источники, на которые опираются жёлтые вводы</t>
  </si>
  <si>
    <t>Блок</t>
  </si>
  <si>
    <t>Источник</t>
  </si>
  <si>
    <t>Курс</t>
  </si>
  <si>
    <t>Национальный Банк Казахстана, официальный курс на 8 октября 2026: 1 RUB = 5,24 KZT.</t>
  </si>
  <si>
    <t>Коммерческое предложение</t>
  </si>
  <si>
    <t>ТОО «Railway Alliance», исх. № 183 от 08.10.2026, директору ТОО «Integra Logistics». FCA, самовывоз: хоппер 19-3255 — 4 450 000 руб., крытый 11-1268 — 4 950 000 руб., платформа 13-6953 — 4 300 000 руб. Аванс 70%, остаток 30% после акта. Срок КП — 10 дней. НДС в цене не оговорён. В том же КП, но не в расчёте: зерновой хоппер 19-3058 за 4 400 000 и хоппер 19-1274-01 за 4 300 000.</t>
  </si>
  <si>
    <t>Базовая ставка</t>
  </si>
  <si>
    <t>НБК, решение от 4 сентября 2026: 16,25% с 7 сентября 2026, коридор ±1 п.п. Следующее плановое решение — 23 октября 2026.</t>
  </si>
  <si>
    <t>Налоги</t>
  </si>
  <si>
    <t>НК РК с 1 января 2026: базовая ставка КПН 20% (КГД), НДС 16%. Налог на имущество считается от зданий и сооружений; на грузовой вагон в модели не начисляется.</t>
  </si>
  <si>
    <t>Перевозки, всего</t>
  </si>
  <si>
    <t>БНС РК, «Транспорт в Республике Казахстан», январь–декабрь 2025: 1 163,6 млн т, +7,9%; грузооборот 584,3 млрд т-км, +13,6%.</t>
  </si>
  <si>
    <t>Железная дорога, БНС</t>
  </si>
  <si>
    <t>Там же: 466,7 млн т, +6,8%; грузооборот 361,3 млрд т-км, +10,2%.</t>
  </si>
  <si>
    <t>Автомобильный</t>
  </si>
  <si>
    <t>Там же и пересказ TELS/ati.su: 352,7 млн т, +2,8%; 1,4 трлн тенге; грузооборот +32,8%.</t>
  </si>
  <si>
    <t>Сеть КТЖ</t>
  </si>
  <si>
    <t>КТЖ для Kazinform: 2025 год — 319,97 млн т, в том числе внутри республики 176,91, экспорт 89,23, импорт 20,78, транзит 33,04. Акорда: тарифный грузооборот 289 млрд т-км, +10%; объём +5,5%.</t>
  </si>
  <si>
    <t>Зерно</t>
  </si>
  <si>
    <t>Пресс-служба КТЖ, январь 2026: 14,3 млн т (+31%), экспорт 11 млн т (+33%). Узбекистан свыше 2 млн т (+41%), Центральная Азия 2,8 млн т (+27%).</t>
  </si>
  <si>
    <t>Уголь</t>
  </si>
  <si>
    <t>КТЖ, 11 месяцев 2025: 95,7 млн т (+3,3%), экспорт угля 31,2 млн т (+8%).</t>
  </si>
  <si>
    <t>Руда, 2026</t>
  </si>
  <si>
    <t>КТЖ, январь–июль 2026 (пересказ RZD-Partner): железная руда 13,8 млн т (+16,6%), цветная руда 12,5 млн т, нефтепродукты 15,2 млн т, стройматериалы 11,3 млн т.</t>
  </si>
  <si>
    <t>ТМТМ</t>
  </si>
  <si>
    <t>Министерство транспорта, март 2026: ряд 2019–2025 до 4,119 млн т в 2025 году; около 77 тыс. ДФЭ; ориентир 300 тыс. ДФЭ к 2029 году.</t>
  </si>
  <si>
    <t>Парк зерновозов</t>
  </si>
  <si>
    <t>Вице-министр транспорта Ж. Тайжанов, Kazinform: 16,3 тыс. зерновозов против 15,1 тыс. годом ранее; для муки задействовано 16,5 тыс. крытых; парк полностью закрывает потребность в перевозке зерна.</t>
  </si>
  <si>
    <t>Қазтеміртранс</t>
  </si>
  <si>
    <t>Rail-news, интервью и отчёт на 1 октября 2025: 39 711 вагонов, нерабочий парк 2,8%. Закупки полувагонов: 1 000 в 2021–2022 и 3 000 в 2023–2025 у Казахстанской вагоностроительной компании. Оценка менеджмента: на сети 1520 профицит, активного спроса на новые вагоны нет.</t>
  </si>
  <si>
    <t>Астық Транс</t>
  </si>
  <si>
    <t>Eldala, данные компании на 2025: 3,4 тыс. собственных зерновозов, 2,7 тыс. в аренде, до 1,5 тыс. привлекаются в сезон.</t>
  </si>
  <si>
    <t>PTC Holding</t>
  </si>
  <si>
    <t>ptc-holding.kz, показатели 2025: парк 14 334 вагона, 15,4 млн т нефтепродуктов, 15% контейнерного грузооборота через Казахстан, 182 437 ДФЭ на терминале Достык.</t>
  </si>
  <si>
    <t>KTZ Express</t>
  </si>
  <si>
    <t>Годовая отчётность за 2024: выручка 3 249 млн тенге, чистая прибыль 238 млн тенге, экспедирование железнодорожных перевозок 4 193 тыс. т.</t>
  </si>
  <si>
    <t>Ставки полувагона</t>
  </si>
  <si>
    <t>ИЦО, август 2025, публикация Vgudok от 15 октября 2025: долгосрочная аренда 23,5 тс — 900 руб./сутки, спот — 600, ставка предоставления — 650–1 000. В 2023–2024 ставка была 2 500–3 600 руб./сутки (N.Trans Lab).</t>
  </si>
  <si>
    <t>Ставки зерновоза</t>
  </si>
  <si>
    <t>ИЦО, август 2025: краткосрочная аренда 2 300–3 500 руб./сутки, −20% к августу 2024. Новые долгосрочные контракты не заключаются из-за межсезонья с февраля. «Паровоз Лизинг»: средняя аренда снизилась с 4 120 в январе до 1 910 руб./сутки в июле 2025.</t>
  </si>
  <si>
    <t>Крытые и платформы</t>
  </si>
  <si>
    <t>Argus, октябрь 2024: крытый 138 м³ — 2 620–2 710 руб./сутки, 158 м³ — 2 750–2 890. ИЦО после этого публикует снижение без новой абсолютной цифры. 40-футовые фитинговые, август 2025, ИЦО: долгосрочные 1 100–1 430, спот 500–700. ЦЦИ, июль 2026: индикатив 40 футов около 1 100 руб./сутки без НДС; длинные контракты, по оценке участника рынка, 1 200–1 500; локальный спот Дальнего Востока 2 000–2 500 в базу не берётся. Выпуск фитинговых платформ в I полугодии 2026 упал на 89%, до 373 штук.</t>
  </si>
  <si>
    <t>Цены этого заказа</t>
  </si>
  <si>
    <t>Берутся из КП Railway Alliance от 08.10.2026, условия FCA. Июльский обзор «Паровоз Лизинг» (зерновоз 5,08 млн, крытый 5,60 млн, полувагон 5,73 млн) остаётся рыночным фоном, но в модель не входит. Средняя цена производителя грузового вагона в РФ в марте 2026 — 5,31 млн руб. (обзор ACG).</t>
  </si>
  <si>
    <t>Модели</t>
  </si>
  <si>
    <t>11-1268 — крытый универсальный 174 м³, 4 люка на крыше, срок 32 года, АО «Рузхиммаш» (РМ Рейл, vagon.by). 13-6953 — фитинговая платформа для контейнеров и танк-контейнеров, рама 13,4 м, грузоподъёмность 72 т, срок службы 32 года по характеристике завода; производитель — Рославльский ВРЗ. 19-3255 в открытом реестре vagon.by не найдена; груз в КП не назван, срок службы в письме — 30 лет, объём 122 м³, один загрузочный и шесть разгрузочных люков.</t>
  </si>
  <si>
    <t>Ремонт</t>
  </si>
  <si>
    <t>РЖД-Партнер / отраслевые оценки 2025: средний деповской ремонт около 130 тыс. руб. без запчастей. Капитальный ремонт полувагона 1,2–1,4 млн руб., крытого 450–600 тыс., зерновоза 400–500 тыс. Суточное содержание полувагона — 879 руб. (АО «ОЖдПС»).</t>
  </si>
  <si>
    <t>Чего в модели нет</t>
  </si>
  <si>
    <t>Интервью с грузовладельцами, коммерческие предложения казахстанских операторов, паспорт конкретного вагона, договор примыкания и фактический порожний тариф маршрута. Пока их нет, казахстанская ставка может отличаться от российского бенчмарка 1520.</t>
  </si>
  <si>
    <t>Модель парка вагонов — Казахстан, октябрь 2026</t>
  </si>
  <si>
    <t>1. Меняйте только жёлтые ячейки на листе «Вводы».</t>
  </si>
  <si>
    <t>2. Листы «Юнит», «Портфель», «Барьер», «Масштаб» и «Финансирование» пересчитают выручку, расходы, EBITDA, чистую прибыль, денежный поток, ROI, IRR, NPV и окупаемость.</t>
  </si>
  <si>
    <t>3. Ставка крытого вагона — допущение. Подставьте ставку из коммерческого предложения, как только она появится.</t>
  </si>
  <si>
    <t>4. Модель считает доход владельца вагона, а не маржу трейдера на зерне, угле или руде.</t>
  </si>
  <si>
    <t>5. Тариф инфраструктуры и порожний рейс в базе платит клиент. Иная договорная схема ухудшает результат.</t>
  </si>
  <si>
    <t>6. Это расчёт для решения, а не оценка имущества и не оферта.</t>
  </si>
  <si>
    <t>Презентация с выводами лежит рядом: Wagon-Park-Kazakhstan.pdf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</si>
</sst>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0.00%"/>
    <numFmt numFmtId="166" formatCode="#,##0"/>
    <numFmt numFmtId="167" formatCode="0%"/>
    <numFmt numFmtId="168" formatCode="#,##0.0"/>
    <numFmt numFmtId="169" formatCode="0.0%"/>
  </numFmts>
  <fonts count="5">
    <font>
      <sz val="11"/>
      <color theme="1"/>
      <name val="Calibri"/>
      <family val="2"/>
      <scheme val="minor"/>
    </font>
    <font>
      <b/>
      <sz val="14"/>
      <color rgb="FF0F2B4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44566C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2B47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8F3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/>
    <xf numFmtId="164" fontId="0" fillId="3" borderId="1" xfId="0" applyNumberFormat="1" applyFill="1" applyBorder="1" applyProtection="1">
      <protection locked="0"/>
    </xf>
    <xf numFmtId="0" fontId="3" fillId="0" borderId="0" xfId="0" applyFont="1" applyAlignment="1">
      <alignment vertical="top" wrapText="1"/>
    </xf>
    <xf numFmtId="165" fontId="0" fillId="3" borderId="1" xfId="0" applyNumberFormat="1" applyFill="1" applyBorder="1"/>
    <xf numFmtId="166" fontId="0" fillId="3" borderId="1" xfId="0" applyNumberFormat="1" applyFill="1" applyBorder="1"/>
    <xf numFmtId="167" fontId="0" fillId="3" borderId="1" xfId="0" applyNumberFormat="1" applyFill="1" applyBorder="1"/>
    <xf numFmtId="0" fontId="4" fillId="0" borderId="0" xfId="0" applyFont="1"/>
    <xf numFmtId="166" fontId="0" fillId="0" borderId="0" xfId="0" applyNumberFormat="1"/>
    <xf numFmtId="166" fontId="0" fillId="4" borderId="0" xfId="0" applyNumberFormat="1" applyFill="1"/>
    <xf numFmtId="168" fontId="0" fillId="0" borderId="0" xfId="0" applyNumberFormat="1"/>
    <xf numFmtId="169" fontId="0" fillId="0" borderId="0" xfId="0" applyNumberFormat="1"/>
    <xf numFmtId="169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cols>
    <col min="1" max="1" width="46.7109375" customWidth="1"/>
    <col min="2" max="2" width="18.7109375" customWidth="1"/>
    <col min="3" max="3" width="22.7109375" customWidth="1"/>
    <col min="4" max="4" width="88.7109375" customWidth="1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5.24</v>
      </c>
      <c r="C3" s="3" t="s">
        <v>6</v>
      </c>
      <c r="D3" s="5" t="s">
        <v>7</v>
      </c>
    </row>
    <row r="4" spans="1:4">
      <c r="A4" s="3" t="s">
        <v>8</v>
      </c>
      <c r="B4" s="6">
        <v>0.2</v>
      </c>
      <c r="C4" s="3" t="s">
        <v>9</v>
      </c>
      <c r="D4" s="5" t="s">
        <v>10</v>
      </c>
    </row>
    <row r="5" spans="1:4">
      <c r="A5" s="3" t="s">
        <v>11</v>
      </c>
      <c r="B5" s="7">
        <v>32</v>
      </c>
      <c r="C5" s="3" t="s">
        <v>12</v>
      </c>
      <c r="D5" s="5" t="s">
        <v>13</v>
      </c>
    </row>
    <row r="6" spans="1:4">
      <c r="A6" s="3" t="s">
        <v>14</v>
      </c>
      <c r="B6" s="6">
        <v>0.15</v>
      </c>
      <c r="C6" s="3" t="s">
        <v>15</v>
      </c>
      <c r="D6" s="5" t="s">
        <v>16</v>
      </c>
    </row>
    <row r="7" spans="1:4">
      <c r="A7" s="3" t="s">
        <v>17</v>
      </c>
      <c r="B7" s="6">
        <v>0.0035</v>
      </c>
      <c r="C7" s="3" t="s">
        <v>18</v>
      </c>
      <c r="D7" s="5" t="s">
        <v>19</v>
      </c>
    </row>
    <row r="8" spans="1:4">
      <c r="A8" s="3" t="s">
        <v>20</v>
      </c>
      <c r="B8" s="6">
        <v>0.1625</v>
      </c>
      <c r="C8" s="3" t="s">
        <v>9</v>
      </c>
      <c r="D8" s="5" t="s">
        <v>21</v>
      </c>
    </row>
    <row r="9" spans="1:4">
      <c r="A9" s="3" t="s">
        <v>22</v>
      </c>
      <c r="B9" s="6">
        <v>0.05</v>
      </c>
      <c r="C9" s="3" t="s">
        <v>9</v>
      </c>
      <c r="D9" s="5" t="s">
        <v>23</v>
      </c>
    </row>
    <row r="10" spans="1:4">
      <c r="A10" s="3" t="s">
        <v>24</v>
      </c>
      <c r="B10" s="6">
        <v>0.5</v>
      </c>
      <c r="C10" s="3" t="s">
        <v>15</v>
      </c>
      <c r="D10" s="5" t="s">
        <v>25</v>
      </c>
    </row>
    <row r="11" spans="1:4">
      <c r="A11" s="3" t="s">
        <v>26</v>
      </c>
      <c r="B11" s="7">
        <v>7</v>
      </c>
      <c r="C11" s="3" t="s">
        <v>12</v>
      </c>
      <c r="D11" s="5" t="s">
        <v>27</v>
      </c>
    </row>
    <row r="12" spans="1:4">
      <c r="A12" s="3" t="s">
        <v>28</v>
      </c>
      <c r="B12" s="7">
        <v>0</v>
      </c>
      <c r="C12" s="3" t="s">
        <v>29</v>
      </c>
      <c r="D12" s="5" t="s">
        <v>30</v>
      </c>
    </row>
    <row r="13" spans="1:4">
      <c r="A13" s="3" t="s">
        <v>31</v>
      </c>
      <c r="B13" s="7">
        <v>0</v>
      </c>
      <c r="C13" s="3" t="s">
        <v>29</v>
      </c>
      <c r="D13" s="5" t="s">
        <v>32</v>
      </c>
    </row>
    <row r="14" spans="1:4">
      <c r="A14" s="3" t="s">
        <v>33</v>
      </c>
      <c r="B14" s="7">
        <v>0</v>
      </c>
      <c r="C14" s="3" t="s">
        <v>29</v>
      </c>
      <c r="D14" s="5" t="s">
        <v>32</v>
      </c>
    </row>
    <row r="15" spans="1:4">
      <c r="A15" s="3" t="s">
        <v>34</v>
      </c>
      <c r="B15" s="7">
        <v>0</v>
      </c>
      <c r="C15" s="3" t="s">
        <v>29</v>
      </c>
      <c r="D15" s="5" t="s">
        <v>32</v>
      </c>
    </row>
    <row r="16" spans="1:4">
      <c r="A16" s="3" t="s">
        <v>37</v>
      </c>
      <c r="B16" s="7">
        <v>30</v>
      </c>
      <c r="C16" s="3" t="s">
        <v>12</v>
      </c>
      <c r="D16" s="5" t="s">
        <v>38</v>
      </c>
    </row>
    <row r="17" spans="1:4">
      <c r="A17" s="1" t="s">
        <v>39</v>
      </c>
    </row>
    <row r="18" spans="1:4">
      <c r="A18" s="3" t="s">
        <v>40</v>
      </c>
      <c r="B18" s="7">
        <v>4450000</v>
      </c>
      <c r="D18" s="5" t="s">
        <v>41</v>
      </c>
    </row>
    <row r="19" spans="1:4">
      <c r="A19" s="3" t="s">
        <v>42</v>
      </c>
      <c r="B19" s="7">
        <v>4950000</v>
      </c>
      <c r="D19" s="5" t="s">
        <v>43</v>
      </c>
    </row>
    <row r="20" spans="1:4">
      <c r="A20" s="3" t="s">
        <v>44</v>
      </c>
      <c r="B20" s="7">
        <v>4300000</v>
      </c>
      <c r="D20" s="5" t="s">
        <v>45</v>
      </c>
    </row>
    <row r="21" spans="1:4">
      <c r="A21" s="3" t="s">
        <v>46</v>
      </c>
      <c r="B21" s="8">
        <v>0.5</v>
      </c>
      <c r="D21" s="5" t="s">
        <v>47</v>
      </c>
    </row>
    <row r="22" spans="1:4">
      <c r="A22" s="3" t="s">
        <v>48</v>
      </c>
      <c r="B22" s="7">
        <v>175000</v>
      </c>
      <c r="D22" s="5" t="s">
        <v>49</v>
      </c>
    </row>
    <row r="23" spans="1:4">
      <c r="A23" s="3" t="s">
        <v>50</v>
      </c>
      <c r="B23" s="7">
        <v>185000</v>
      </c>
      <c r="D23" s="5" t="s">
        <v>51</v>
      </c>
    </row>
    <row r="24" spans="1:4">
      <c r="A24" s="3" t="s">
        <v>52</v>
      </c>
      <c r="B24" s="7">
        <v>170000</v>
      </c>
      <c r="D24" s="5" t="s">
        <v>53</v>
      </c>
    </row>
    <row r="25" spans="1:4">
      <c r="A25" s="3" t="s">
        <v>54</v>
      </c>
      <c r="B25" s="8">
        <v>0.2</v>
      </c>
      <c r="D25" s="5" t="s">
        <v>55</v>
      </c>
    </row>
    <row r="26" spans="1:4">
      <c r="A26" s="3" t="s">
        <v>56</v>
      </c>
      <c r="B26" s="7">
        <v>16</v>
      </c>
      <c r="D26" s="5" t="s">
        <v>57</v>
      </c>
    </row>
    <row r="28" spans="1:4">
      <c r="A28" s="1" t="s">
        <v>58</v>
      </c>
    </row>
    <row r="29" spans="1:4">
      <c r="A29" s="5" t="s">
        <v>59</v>
      </c>
    </row>
    <row r="30" spans="1:4">
      <c r="A30" s="3" t="s">
        <v>60</v>
      </c>
      <c r="B30" s="7">
        <v>1200</v>
      </c>
      <c r="D30" s="5" t="s">
        <v>78</v>
      </c>
    </row>
    <row r="31" spans="1:4">
      <c r="A31" s="3" t="s">
        <v>61</v>
      </c>
      <c r="B31" s="7">
        <v>180</v>
      </c>
    </row>
    <row r="32" spans="1:4">
      <c r="A32" s="3" t="s">
        <v>62</v>
      </c>
      <c r="B32" s="7">
        <v>1700</v>
      </c>
    </row>
    <row r="33" spans="1:4">
      <c r="A33" s="3" t="s">
        <v>63</v>
      </c>
      <c r="B33" s="7">
        <v>230</v>
      </c>
    </row>
    <row r="34" spans="1:4">
      <c r="A34" s="3" t="s">
        <v>64</v>
      </c>
      <c r="B34" s="7">
        <v>2500</v>
      </c>
    </row>
    <row r="35" spans="1:4">
      <c r="A35" s="3" t="s">
        <v>65</v>
      </c>
      <c r="B35" s="7">
        <v>280</v>
      </c>
    </row>
    <row r="36" spans="1:4">
      <c r="A36" s="3" t="s">
        <v>66</v>
      </c>
      <c r="B36" s="7">
        <v>1100</v>
      </c>
      <c r="D36" s="5" t="s">
        <v>79</v>
      </c>
    </row>
    <row r="37" spans="1:4">
      <c r="A37" s="3" t="s">
        <v>67</v>
      </c>
      <c r="B37" s="7">
        <v>170</v>
      </c>
    </row>
    <row r="38" spans="1:4">
      <c r="A38" s="3" t="s">
        <v>68</v>
      </c>
      <c r="B38" s="7">
        <v>1500</v>
      </c>
    </row>
    <row r="39" spans="1:4">
      <c r="A39" s="3" t="s">
        <v>69</v>
      </c>
      <c r="B39" s="7">
        <v>220</v>
      </c>
    </row>
    <row r="40" spans="1:4">
      <c r="A40" s="3" t="s">
        <v>70</v>
      </c>
      <c r="B40" s="7">
        <v>2000</v>
      </c>
    </row>
    <row r="41" spans="1:4">
      <c r="A41" s="3" t="s">
        <v>71</v>
      </c>
      <c r="B41" s="7">
        <v>270</v>
      </c>
    </row>
    <row r="42" spans="1:4">
      <c r="A42" s="3" t="s">
        <v>72</v>
      </c>
      <c r="B42" s="7">
        <v>700</v>
      </c>
      <c r="D42" s="5" t="s">
        <v>80</v>
      </c>
    </row>
    <row r="43" spans="1:4">
      <c r="A43" s="3" t="s">
        <v>73</v>
      </c>
      <c r="B43" s="7">
        <v>180</v>
      </c>
    </row>
    <row r="44" spans="1:4">
      <c r="A44" s="3" t="s">
        <v>74</v>
      </c>
      <c r="B44" s="7">
        <v>1100</v>
      </c>
    </row>
    <row r="45" spans="1:4">
      <c r="A45" s="3" t="s">
        <v>75</v>
      </c>
      <c r="B45" s="7">
        <v>230</v>
      </c>
    </row>
    <row r="46" spans="1:4">
      <c r="A46" s="3" t="s">
        <v>76</v>
      </c>
      <c r="B46" s="7">
        <v>1500</v>
      </c>
    </row>
    <row r="47" spans="1:4">
      <c r="A47" s="3" t="s">
        <v>77</v>
      </c>
      <c r="B47" s="7">
        <v>280</v>
      </c>
    </row>
    <row r="49" spans="1:4">
      <c r="A49" s="1" t="s">
        <v>81</v>
      </c>
    </row>
    <row r="50" spans="1:4">
      <c r="A50" s="3" t="s">
        <v>82</v>
      </c>
      <c r="B50" s="7">
        <v>10</v>
      </c>
      <c r="D50" s="5" t="s">
        <v>88</v>
      </c>
    </row>
    <row r="51" spans="1:4">
      <c r="A51" s="3" t="s">
        <v>83</v>
      </c>
      <c r="B51" s="7">
        <v>10</v>
      </c>
    </row>
    <row r="52" spans="1:4">
      <c r="A52" s="3" t="s">
        <v>84</v>
      </c>
      <c r="B52" s="7">
        <v>10</v>
      </c>
    </row>
    <row r="53" spans="1:4">
      <c r="A53" s="3" t="s">
        <v>85</v>
      </c>
      <c r="B53" s="7">
        <v>20</v>
      </c>
    </row>
    <row r="54" spans="1:4">
      <c r="A54" s="3" t="s">
        <v>86</v>
      </c>
      <c r="B54" s="7">
        <v>20</v>
      </c>
    </row>
    <row r="55" spans="1:4">
      <c r="A55" s="3" t="s">
        <v>87</v>
      </c>
      <c r="B55" s="7">
        <v>20</v>
      </c>
    </row>
    <row r="57" spans="1:4">
      <c r="A57" s="9" t="s">
        <v>89</v>
      </c>
    </row>
    <row r="58" spans="1:4" ht="78" customHeight="1">
      <c r="A58" s="5" t="s">
        <v>90</v>
      </c>
      <c r="B58" s="6">
        <v>0.16</v>
      </c>
      <c r="C58" s="3" t="s">
        <v>9</v>
      </c>
      <c r="D58" s="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14">
      <c r="A1" s="1" t="s">
        <v>91</v>
      </c>
    </row>
    <row r="2" spans="1:14">
      <c r="I2" s="5" t="s">
        <v>118</v>
      </c>
    </row>
    <row r="3" spans="1:14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I3" s="2">
        <f>B3</f>
        <v>0</v>
      </c>
      <c r="J3" s="2">
        <f>C3</f>
        <v>0</v>
      </c>
      <c r="K3" s="2">
        <f>D3</f>
        <v>0</v>
      </c>
      <c r="L3" s="2">
        <f>E3</f>
        <v>0</v>
      </c>
      <c r="M3" s="2">
        <f>F3</f>
        <v>0</v>
      </c>
      <c r="N3" s="2">
        <f>G3</f>
        <v>0</v>
      </c>
    </row>
    <row r="4" spans="1:14">
      <c r="A4" s="3" t="s">
        <v>99</v>
      </c>
      <c r="B4" s="10">
        <f>price_grain</f>
        <v>0</v>
      </c>
      <c r="C4" s="10">
        <f>price_grain</f>
        <v>0</v>
      </c>
      <c r="D4" s="10">
        <f>price_grain</f>
        <v>0</v>
      </c>
      <c r="E4" s="10">
        <f>price_covered</f>
        <v>0</v>
      </c>
      <c r="F4" s="10">
        <f>price_covered</f>
        <v>0</v>
      </c>
      <c r="G4" s="10">
        <f>price_covered</f>
        <v>0</v>
      </c>
      <c r="I4" s="10">
        <f>-B4</f>
        <v>0</v>
      </c>
      <c r="J4" s="10">
        <f>-C4</f>
        <v>0</v>
      </c>
      <c r="K4" s="10">
        <f>-D4</f>
        <v>0</v>
      </c>
      <c r="L4" s="10">
        <f>-E4</f>
        <v>0</v>
      </c>
      <c r="M4" s="10">
        <f>-F4</f>
        <v>0</v>
      </c>
      <c r="N4" s="10">
        <f>-G4</f>
        <v>0</v>
      </c>
    </row>
    <row r="5" spans="1:14">
      <c r="A5" s="3" t="s">
        <v>100</v>
      </c>
      <c r="B5" s="10">
        <f>g_rate_c</f>
        <v>0</v>
      </c>
      <c r="C5" s="10">
        <f>g_rate_b</f>
        <v>0</v>
      </c>
      <c r="D5" s="10">
        <f>g_rate_o</f>
        <v>0</v>
      </c>
      <c r="E5" s="10">
        <f>c_rate_c</f>
        <v>0</v>
      </c>
      <c r="F5" s="10">
        <f>c_rate_b</f>
        <v>0</v>
      </c>
      <c r="G5" s="10">
        <f>c_rate_o</f>
        <v>0</v>
      </c>
      <c r="I5" s="10">
        <f>B16</f>
        <v>0</v>
      </c>
      <c r="J5" s="10">
        <f>C16</f>
        <v>0</v>
      </c>
      <c r="K5" s="10">
        <f>D16</f>
        <v>0</v>
      </c>
      <c r="L5" s="10">
        <f>E16</f>
        <v>0</v>
      </c>
      <c r="M5" s="10">
        <f>F16</f>
        <v>0</v>
      </c>
      <c r="N5" s="10">
        <f>G16</f>
        <v>0</v>
      </c>
    </row>
    <row r="6" spans="1:14">
      <c r="A6" s="3" t="s">
        <v>101</v>
      </c>
      <c r="B6" s="10">
        <f>g_days_c</f>
        <v>0</v>
      </c>
      <c r="C6" s="10">
        <f>g_days_b</f>
        <v>0</v>
      </c>
      <c r="D6" s="10">
        <f>g_days_o</f>
        <v>0</v>
      </c>
      <c r="E6" s="10">
        <f>c_days_c</f>
        <v>0</v>
      </c>
      <c r="F6" s="10">
        <f>c_days_b</f>
        <v>0</v>
      </c>
      <c r="G6" s="10">
        <f>c_days_o</f>
        <v>0</v>
      </c>
      <c r="I6" s="10">
        <f>B16</f>
        <v>0</v>
      </c>
      <c r="J6" s="10">
        <f>C16</f>
        <v>0</v>
      </c>
      <c r="K6" s="10">
        <f>D16</f>
        <v>0</v>
      </c>
      <c r="L6" s="10">
        <f>E16</f>
        <v>0</v>
      </c>
      <c r="M6" s="10">
        <f>F16</f>
        <v>0</v>
      </c>
      <c r="N6" s="10">
        <f>G16</f>
        <v>0</v>
      </c>
    </row>
    <row r="7" spans="1:14">
      <c r="A7" s="3" t="s">
        <v>102</v>
      </c>
      <c r="B7" s="11">
        <f>B5*B6</f>
        <v>0</v>
      </c>
      <c r="C7" s="11">
        <f>C5*C6</f>
        <v>0</v>
      </c>
      <c r="D7" s="11">
        <f>D5*D6</f>
        <v>0</v>
      </c>
      <c r="E7" s="11">
        <f>E5*E6</f>
        <v>0</v>
      </c>
      <c r="F7" s="11">
        <f>F5*F6</f>
        <v>0</v>
      </c>
      <c r="G7" s="11">
        <f>G5*G6</f>
        <v>0</v>
      </c>
      <c r="I7" s="10">
        <f>B16</f>
        <v>0</v>
      </c>
      <c r="J7" s="10">
        <f>C16</f>
        <v>0</v>
      </c>
      <c r="K7" s="10">
        <f>D16</f>
        <v>0</v>
      </c>
      <c r="L7" s="10">
        <f>E16</f>
        <v>0</v>
      </c>
      <c r="M7" s="10">
        <f>F16</f>
        <v>0</v>
      </c>
      <c r="N7" s="10">
        <f>G16</f>
        <v>0</v>
      </c>
    </row>
    <row r="8" spans="1:14">
      <c r="A8" s="3" t="s">
        <v>103</v>
      </c>
      <c r="B8" s="10">
        <f>maint_grain</f>
        <v>0</v>
      </c>
      <c r="C8" s="10">
        <f>maint_grain</f>
        <v>0</v>
      </c>
      <c r="D8" s="10">
        <f>maint_grain</f>
        <v>0</v>
      </c>
      <c r="E8" s="10">
        <f>maint_covered</f>
        <v>0</v>
      </c>
      <c r="F8" s="10">
        <f>maint_covered</f>
        <v>0</v>
      </c>
      <c r="G8" s="10">
        <f>maint_covered</f>
        <v>0</v>
      </c>
      <c r="I8" s="10">
        <f>B16</f>
        <v>0</v>
      </c>
      <c r="J8" s="10">
        <f>C16</f>
        <v>0</v>
      </c>
      <c r="K8" s="10">
        <f>D16</f>
        <v>0</v>
      </c>
      <c r="L8" s="10">
        <f>E16</f>
        <v>0</v>
      </c>
      <c r="M8" s="10">
        <f>F16</f>
        <v>0</v>
      </c>
      <c r="N8" s="10">
        <f>G16</f>
        <v>0</v>
      </c>
    </row>
    <row r="9" spans="1:14">
      <c r="A9" s="3" t="s">
        <v>104</v>
      </c>
      <c r="B9" s="10">
        <f>B4*ins</f>
        <v>0</v>
      </c>
      <c r="C9" s="10">
        <f>C4*ins</f>
        <v>0</v>
      </c>
      <c r="D9" s="10">
        <f>D4*ins</f>
        <v>0</v>
      </c>
      <c r="E9" s="10">
        <f>E4*ins</f>
        <v>0</v>
      </c>
      <c r="F9" s="10">
        <f>F4*ins</f>
        <v>0</v>
      </c>
      <c r="G9" s="10">
        <f>G4*ins</f>
        <v>0</v>
      </c>
      <c r="I9" s="10">
        <f>B16</f>
        <v>0</v>
      </c>
      <c r="J9" s="10">
        <f>C16</f>
        <v>0</v>
      </c>
      <c r="K9" s="10">
        <f>D16</f>
        <v>0</v>
      </c>
      <c r="L9" s="10">
        <f>E16</f>
        <v>0</v>
      </c>
      <c r="M9" s="10">
        <f>F16</f>
        <v>0</v>
      </c>
      <c r="N9" s="10">
        <f>G16</f>
        <v>0</v>
      </c>
    </row>
    <row r="10" spans="1:14">
      <c r="A10" s="3" t="s">
        <v>105</v>
      </c>
      <c r="B10" s="10">
        <f>B8+B9</f>
        <v>0</v>
      </c>
      <c r="C10" s="10">
        <f>C8+C9</f>
        <v>0</v>
      </c>
      <c r="D10" s="10">
        <f>D8+D9</f>
        <v>0</v>
      </c>
      <c r="E10" s="10">
        <f>E8+E9</f>
        <v>0</v>
      </c>
      <c r="F10" s="10">
        <f>F8+F9</f>
        <v>0</v>
      </c>
      <c r="G10" s="10">
        <f>G8+G9</f>
        <v>0</v>
      </c>
      <c r="I10" s="10">
        <f>B16</f>
        <v>0</v>
      </c>
      <c r="J10" s="10">
        <f>C16</f>
        <v>0</v>
      </c>
      <c r="K10" s="10">
        <f>D16</f>
        <v>0</v>
      </c>
      <c r="L10" s="10">
        <f>E16</f>
        <v>0</v>
      </c>
      <c r="M10" s="10">
        <f>F16</f>
        <v>0</v>
      </c>
      <c r="N10" s="10">
        <f>G16</f>
        <v>0</v>
      </c>
    </row>
    <row r="11" spans="1:14">
      <c r="A11" s="9" t="s">
        <v>106</v>
      </c>
      <c r="B11" s="11">
        <f>B7-B10</f>
        <v>0</v>
      </c>
      <c r="C11" s="11">
        <f>C7-C10</f>
        <v>0</v>
      </c>
      <c r="D11" s="11">
        <f>D7-D10</f>
        <v>0</v>
      </c>
      <c r="E11" s="11">
        <f>E7-E10</f>
        <v>0</v>
      </c>
      <c r="F11" s="11">
        <f>F7-F10</f>
        <v>0</v>
      </c>
      <c r="G11" s="11">
        <f>G7-G10</f>
        <v>0</v>
      </c>
      <c r="I11" s="10">
        <f>B16</f>
        <v>0</v>
      </c>
      <c r="J11" s="10">
        <f>C16</f>
        <v>0</v>
      </c>
      <c r="K11" s="10">
        <f>D16</f>
        <v>0</v>
      </c>
      <c r="L11" s="10">
        <f>E16</f>
        <v>0</v>
      </c>
      <c r="M11" s="10">
        <f>F16</f>
        <v>0</v>
      </c>
      <c r="N11" s="10">
        <f>G16</f>
        <v>0</v>
      </c>
    </row>
    <row r="12" spans="1:14">
      <c r="A12" s="3" t="s">
        <v>107</v>
      </c>
      <c r="B12" s="10">
        <f>B4*(1-residual)/life_hopper</f>
        <v>0</v>
      </c>
      <c r="C12" s="10">
        <f>C4*(1-residual)/life_hopper</f>
        <v>0</v>
      </c>
      <c r="D12" s="10">
        <f>D4*(1-residual)/life_hopper</f>
        <v>0</v>
      </c>
      <c r="E12" s="10">
        <f>E4*(1-residual)/life</f>
        <v>0</v>
      </c>
      <c r="F12" s="10">
        <f>F4*(1-residual)/life</f>
        <v>0</v>
      </c>
      <c r="G12" s="10">
        <f>G4*(1-residual)/life</f>
        <v>0</v>
      </c>
      <c r="I12" s="10">
        <f>B16</f>
        <v>0</v>
      </c>
      <c r="J12" s="10">
        <f>C16</f>
        <v>0</v>
      </c>
      <c r="K12" s="10">
        <f>D16</f>
        <v>0</v>
      </c>
      <c r="L12" s="10">
        <f>E16</f>
        <v>0</v>
      </c>
      <c r="M12" s="10">
        <f>F16</f>
        <v>0</v>
      </c>
      <c r="N12" s="10">
        <f>G16</f>
        <v>0</v>
      </c>
    </row>
    <row r="13" spans="1:14">
      <c r="A13" s="3" t="s">
        <v>108</v>
      </c>
      <c r="B13" s="10">
        <f>B11-B12</f>
        <v>0</v>
      </c>
      <c r="C13" s="10">
        <f>C11-C12</f>
        <v>0</v>
      </c>
      <c r="D13" s="10">
        <f>D11-D12</f>
        <v>0</v>
      </c>
      <c r="E13" s="10">
        <f>E11-E12</f>
        <v>0</v>
      </c>
      <c r="F13" s="10">
        <f>F11-F12</f>
        <v>0</v>
      </c>
      <c r="G13" s="10">
        <f>G11-G12</f>
        <v>0</v>
      </c>
      <c r="I13" s="10">
        <f>B16</f>
        <v>0</v>
      </c>
      <c r="J13" s="10">
        <f>C16</f>
        <v>0</v>
      </c>
      <c r="K13" s="10">
        <f>D16</f>
        <v>0</v>
      </c>
      <c r="L13" s="10">
        <f>E16</f>
        <v>0</v>
      </c>
      <c r="M13" s="10">
        <f>F16</f>
        <v>0</v>
      </c>
      <c r="N13" s="10">
        <f>G16</f>
        <v>0</v>
      </c>
    </row>
    <row r="14" spans="1:14">
      <c r="A14" s="3" t="s">
        <v>109</v>
      </c>
      <c r="B14" s="10">
        <f>MAX(B13,0)*tax</f>
        <v>0</v>
      </c>
      <c r="C14" s="10">
        <f>MAX(C13,0)*tax</f>
        <v>0</v>
      </c>
      <c r="D14" s="10">
        <f>MAX(D13,0)*tax</f>
        <v>0</v>
      </c>
      <c r="E14" s="10">
        <f>MAX(E13,0)*tax</f>
        <v>0</v>
      </c>
      <c r="F14" s="10">
        <f>MAX(F13,0)*tax</f>
        <v>0</v>
      </c>
      <c r="G14" s="10">
        <f>MAX(G13,0)*tax</f>
        <v>0</v>
      </c>
      <c r="I14" s="10">
        <f>B16</f>
        <v>0</v>
      </c>
      <c r="J14" s="10">
        <f>C16</f>
        <v>0</v>
      </c>
      <c r="K14" s="10">
        <f>D16</f>
        <v>0</v>
      </c>
      <c r="L14" s="10">
        <f>E16</f>
        <v>0</v>
      </c>
      <c r="M14" s="10">
        <f>F16</f>
        <v>0</v>
      </c>
      <c r="N14" s="10">
        <f>G16</f>
        <v>0</v>
      </c>
    </row>
    <row r="15" spans="1:14">
      <c r="A15" s="3" t="s">
        <v>110</v>
      </c>
      <c r="B15" s="10">
        <f>B13-B14</f>
        <v>0</v>
      </c>
      <c r="C15" s="10">
        <f>C13-C14</f>
        <v>0</v>
      </c>
      <c r="D15" s="10">
        <f>D13-D14</f>
        <v>0</v>
      </c>
      <c r="E15" s="10">
        <f>E13-E14</f>
        <v>0</v>
      </c>
      <c r="F15" s="10">
        <f>F13-F14</f>
        <v>0</v>
      </c>
      <c r="G15" s="10">
        <f>G13-G14</f>
        <v>0</v>
      </c>
      <c r="I15" s="10">
        <f>B16</f>
        <v>0</v>
      </c>
      <c r="J15" s="10">
        <f>C16</f>
        <v>0</v>
      </c>
      <c r="K15" s="10">
        <f>D16</f>
        <v>0</v>
      </c>
      <c r="L15" s="10">
        <f>E16</f>
        <v>0</v>
      </c>
      <c r="M15" s="10">
        <f>F16</f>
        <v>0</v>
      </c>
      <c r="N15" s="10">
        <f>G16</f>
        <v>0</v>
      </c>
    </row>
    <row r="16" spans="1:14">
      <c r="A16" s="3" t="s">
        <v>111</v>
      </c>
      <c r="B16" s="11">
        <f>B11-B14</f>
        <v>0</v>
      </c>
      <c r="C16" s="11">
        <f>C11-C14</f>
        <v>0</v>
      </c>
      <c r="D16" s="11">
        <f>D11-D14</f>
        <v>0</v>
      </c>
      <c r="E16" s="11">
        <f>E11-E14</f>
        <v>0</v>
      </c>
      <c r="F16" s="11">
        <f>F11-F14</f>
        <v>0</v>
      </c>
      <c r="G16" s="11">
        <f>G11-G14</f>
        <v>0</v>
      </c>
      <c r="I16" s="10">
        <f>B16</f>
        <v>0</v>
      </c>
      <c r="J16" s="10">
        <f>C16</f>
        <v>0</v>
      </c>
      <c r="K16" s="10">
        <f>D16</f>
        <v>0</v>
      </c>
      <c r="L16" s="10">
        <f>E16</f>
        <v>0</v>
      </c>
      <c r="M16" s="10">
        <f>F16</f>
        <v>0</v>
      </c>
      <c r="N16" s="10">
        <f>G16</f>
        <v>0</v>
      </c>
    </row>
    <row r="17" spans="1:14">
      <c r="A17" s="9" t="s">
        <v>112</v>
      </c>
      <c r="B17" s="12">
        <f>IF(B11&lt;=0,"не окупается",B4/B11)</f>
        <v>0</v>
      </c>
      <c r="C17" s="12">
        <f>IF(C11&lt;=0,"не окупается",C4/C11)</f>
        <v>0</v>
      </c>
      <c r="D17" s="12">
        <f>IF(D11&lt;=0,"не окупается",D4/D11)</f>
        <v>0</v>
      </c>
      <c r="E17" s="12">
        <f>IF(E11&lt;=0,"не окупается",E4/E11)</f>
        <v>0</v>
      </c>
      <c r="F17" s="12">
        <f>IF(F11&lt;=0,"не окупается",F4/F11)</f>
        <v>0</v>
      </c>
      <c r="G17" s="12">
        <f>IF(G11&lt;=0,"не окупается",G4/G11)</f>
        <v>0</v>
      </c>
      <c r="I17" s="10">
        <f>B16</f>
        <v>0</v>
      </c>
      <c r="J17" s="10">
        <f>C16</f>
        <v>0</v>
      </c>
      <c r="K17" s="10">
        <f>D16</f>
        <v>0</v>
      </c>
      <c r="L17" s="10">
        <f>E16</f>
        <v>0</v>
      </c>
      <c r="M17" s="10">
        <f>F16</f>
        <v>0</v>
      </c>
      <c r="N17" s="10">
        <f>G16</f>
        <v>0</v>
      </c>
    </row>
    <row r="18" spans="1:14">
      <c r="A18" s="3" t="s">
        <v>113</v>
      </c>
      <c r="B18" s="12">
        <f>IF(B16&lt;=0,"не окупается",B4/B16)</f>
        <v>0</v>
      </c>
      <c r="C18" s="12">
        <f>IF(C16&lt;=0,"не окупается",C4/C16)</f>
        <v>0</v>
      </c>
      <c r="D18" s="12">
        <f>IF(D16&lt;=0,"не окупается",D4/D16)</f>
        <v>0</v>
      </c>
      <c r="E18" s="12">
        <f>IF(E16&lt;=0,"не окупается",E4/E16)</f>
        <v>0</v>
      </c>
      <c r="F18" s="12">
        <f>IF(F16&lt;=0,"не окупается",F4/F16)</f>
        <v>0</v>
      </c>
      <c r="G18" s="12">
        <f>IF(G16&lt;=0,"не окупается",G4/G16)</f>
        <v>0</v>
      </c>
      <c r="I18" s="10">
        <f>B16</f>
        <v>0</v>
      </c>
      <c r="J18" s="10">
        <f>C16</f>
        <v>0</v>
      </c>
      <c r="K18" s="10">
        <f>D16</f>
        <v>0</v>
      </c>
      <c r="L18" s="10">
        <f>E16</f>
        <v>0</v>
      </c>
      <c r="M18" s="10">
        <f>F16</f>
        <v>0</v>
      </c>
      <c r="N18" s="10">
        <f>G16</f>
        <v>0</v>
      </c>
    </row>
    <row r="19" spans="1:14">
      <c r="A19" s="3" t="s">
        <v>114</v>
      </c>
      <c r="B19" s="13">
        <f>IF(B7=0,NA(),B11/B7)</f>
        <v>0</v>
      </c>
      <c r="C19" s="13">
        <f>IF(C7=0,NA(),C11/C7)</f>
        <v>0</v>
      </c>
      <c r="D19" s="13">
        <f>IF(D7=0,NA(),D11/D7)</f>
        <v>0</v>
      </c>
      <c r="E19" s="13">
        <f>IF(E7=0,NA(),E11/E7)</f>
        <v>0</v>
      </c>
      <c r="F19" s="13">
        <f>IF(F7=0,NA(),F11/F7)</f>
        <v>0</v>
      </c>
      <c r="G19" s="13">
        <f>IF(G7=0,NA(),G11/G7)</f>
        <v>0</v>
      </c>
      <c r="I19" s="10">
        <f>B16</f>
        <v>0</v>
      </c>
      <c r="J19" s="10">
        <f>C16</f>
        <v>0</v>
      </c>
      <c r="K19" s="10">
        <f>D16</f>
        <v>0</v>
      </c>
      <c r="L19" s="10">
        <f>E16</f>
        <v>0</v>
      </c>
      <c r="M19" s="10">
        <f>F16</f>
        <v>0</v>
      </c>
      <c r="N19" s="10">
        <f>G16</f>
        <v>0</v>
      </c>
    </row>
    <row r="20" spans="1:14">
      <c r="A20" s="9" t="s">
        <v>115</v>
      </c>
      <c r="B20" s="14">
        <f>IRR(I4:I36)</f>
        <v>0</v>
      </c>
      <c r="C20" s="14">
        <f>IRR(J4:J36)</f>
        <v>0</v>
      </c>
      <c r="D20" s="14">
        <f>IRR(K4:K36)</f>
        <v>0</v>
      </c>
      <c r="E20" s="14">
        <f>IRR(L4:L36)</f>
        <v>0</v>
      </c>
      <c r="F20" s="14">
        <f>IRR(M4:M36)</f>
        <v>0</v>
      </c>
      <c r="G20" s="14">
        <f>IRR(N4:N36)</f>
        <v>0</v>
      </c>
      <c r="I20" s="10">
        <f>B16</f>
        <v>0</v>
      </c>
      <c r="J20" s="10">
        <f>C16</f>
        <v>0</v>
      </c>
      <c r="K20" s="10">
        <f>D16</f>
        <v>0</v>
      </c>
      <c r="L20" s="10">
        <f>E16</f>
        <v>0</v>
      </c>
      <c r="M20" s="10">
        <f>F16</f>
        <v>0</v>
      </c>
      <c r="N20" s="10">
        <f>G16</f>
        <v>0</v>
      </c>
    </row>
    <row r="21" spans="1:14">
      <c r="A21" s="3" t="s">
        <v>116</v>
      </c>
      <c r="B21" s="14">
        <f>IF(B4=0,NA(),B16/B4)</f>
        <v>0</v>
      </c>
      <c r="C21" s="14">
        <f>IF(C4=0,NA(),C16/C4)</f>
        <v>0</v>
      </c>
      <c r="D21" s="14">
        <f>IF(D4=0,NA(),D16/D4)</f>
        <v>0</v>
      </c>
      <c r="E21" s="14">
        <f>IF(E4=0,NA(),E16/E4)</f>
        <v>0</v>
      </c>
      <c r="F21" s="14">
        <f>IF(F4=0,NA(),F16/F4)</f>
        <v>0</v>
      </c>
      <c r="G21" s="14">
        <f>IF(G4=0,NA(),G16/G4)</f>
        <v>0</v>
      </c>
      <c r="I21" s="10">
        <f>B16</f>
        <v>0</v>
      </c>
      <c r="J21" s="10">
        <f>C16</f>
        <v>0</v>
      </c>
      <c r="K21" s="10">
        <f>D16</f>
        <v>0</v>
      </c>
      <c r="L21" s="10">
        <f>E16</f>
        <v>0</v>
      </c>
      <c r="M21" s="10">
        <f>F16</f>
        <v>0</v>
      </c>
      <c r="N21" s="10">
        <f>G16</f>
        <v>0</v>
      </c>
    </row>
    <row r="22" spans="1:14">
      <c r="A22" s="1" t="s">
        <v>119</v>
      </c>
      <c r="B22" s="11">
        <f>NPV(nbk,I5:I36)+I4</f>
        <v>0</v>
      </c>
      <c r="C22" s="11">
        <f>NPV(nbk,J5:J36)+J4</f>
        <v>0</v>
      </c>
      <c r="D22" s="11">
        <f>NPV(nbk,K5:K36)+K4</f>
        <v>0</v>
      </c>
      <c r="E22" s="11">
        <f>NPV(nbk,L5:L36)+L4</f>
        <v>0</v>
      </c>
      <c r="F22" s="11">
        <f>NPV(nbk,M5:M36)+M4</f>
        <v>0</v>
      </c>
      <c r="G22" s="11">
        <f>NPV(nbk,N5:N36)+N4</f>
        <v>0</v>
      </c>
      <c r="I22" s="10">
        <f>B16</f>
        <v>0</v>
      </c>
      <c r="J22" s="10">
        <f>C16</f>
        <v>0</v>
      </c>
      <c r="K22" s="10">
        <f>D16</f>
        <v>0</v>
      </c>
      <c r="L22" s="10">
        <f>E16</f>
        <v>0</v>
      </c>
      <c r="M22" s="10">
        <f>F16</f>
        <v>0</v>
      </c>
      <c r="N22" s="10">
        <f>G16</f>
        <v>0</v>
      </c>
    </row>
    <row r="23" spans="1:14">
      <c r="A23" s="2" t="s">
        <v>92</v>
      </c>
      <c r="B23" s="2" t="s">
        <v>120</v>
      </c>
      <c r="C23" s="2" t="s">
        <v>121</v>
      </c>
      <c r="D23" s="2" t="s">
        <v>122</v>
      </c>
      <c r="I23" s="10">
        <f>B16</f>
        <v>0</v>
      </c>
      <c r="J23" s="10">
        <f>C16</f>
        <v>0</v>
      </c>
      <c r="K23" s="10">
        <f>D16</f>
        <v>0</v>
      </c>
      <c r="L23" s="10">
        <f>E16</f>
        <v>0</v>
      </c>
      <c r="M23" s="10">
        <f>F16</f>
        <v>0</v>
      </c>
      <c r="N23" s="10">
        <f>G16</f>
        <v>0</v>
      </c>
    </row>
    <row r="24" spans="1:14">
      <c r="A24" s="3" t="s">
        <v>99</v>
      </c>
      <c r="B24" s="10">
        <f>price_gondola</f>
        <v>0</v>
      </c>
      <c r="C24" s="10">
        <f>price_gondola</f>
        <v>0</v>
      </c>
      <c r="D24" s="10">
        <f>price_gondola</f>
        <v>0</v>
      </c>
      <c r="I24" s="10">
        <f>B16</f>
        <v>0</v>
      </c>
      <c r="J24" s="10">
        <f>C16</f>
        <v>0</v>
      </c>
      <c r="K24" s="10">
        <f>D16</f>
        <v>0</v>
      </c>
      <c r="L24" s="10">
        <f>E16</f>
        <v>0</v>
      </c>
      <c r="M24" s="10">
        <f>F16</f>
        <v>0</v>
      </c>
      <c r="N24" s="10">
        <f>G16</f>
        <v>0</v>
      </c>
    </row>
    <row r="25" spans="1:14">
      <c r="A25" s="3" t="s">
        <v>100</v>
      </c>
      <c r="B25" s="10">
        <f>p_rate_c</f>
        <v>0</v>
      </c>
      <c r="C25" s="10">
        <f>p_rate_b</f>
        <v>0</v>
      </c>
      <c r="D25" s="10">
        <f>p_rate_o</f>
        <v>0</v>
      </c>
      <c r="I25" s="10">
        <f>B16</f>
        <v>0</v>
      </c>
      <c r="J25" s="10">
        <f>C16</f>
        <v>0</v>
      </c>
      <c r="K25" s="10">
        <f>D16</f>
        <v>0</v>
      </c>
      <c r="L25" s="10">
        <f>E16</f>
        <v>0</v>
      </c>
      <c r="M25" s="10">
        <f>F16</f>
        <v>0</v>
      </c>
      <c r="N25" s="10">
        <f>G16</f>
        <v>0</v>
      </c>
    </row>
    <row r="26" spans="1:14">
      <c r="A26" s="3" t="s">
        <v>101</v>
      </c>
      <c r="B26" s="10">
        <f>p_days_c</f>
        <v>0</v>
      </c>
      <c r="C26" s="10">
        <f>p_days_b</f>
        <v>0</v>
      </c>
      <c r="D26" s="10">
        <f>p_days_o</f>
        <v>0</v>
      </c>
      <c r="I26" s="10">
        <f>B16</f>
        <v>0</v>
      </c>
      <c r="J26" s="10">
        <f>C16</f>
        <v>0</v>
      </c>
      <c r="K26" s="10">
        <f>D16</f>
        <v>0</v>
      </c>
      <c r="L26" s="10">
        <f>E16</f>
        <v>0</v>
      </c>
      <c r="M26" s="10">
        <f>F16</f>
        <v>0</v>
      </c>
      <c r="N26" s="10">
        <f>G16</f>
        <v>0</v>
      </c>
    </row>
    <row r="27" spans="1:14">
      <c r="A27" s="3" t="s">
        <v>123</v>
      </c>
      <c r="B27" s="11">
        <f>B25*B26</f>
        <v>0</v>
      </c>
      <c r="C27" s="11">
        <f>C25*C26</f>
        <v>0</v>
      </c>
      <c r="D27" s="11">
        <f>D25*D26</f>
        <v>0</v>
      </c>
      <c r="I27" s="10">
        <f>B16</f>
        <v>0</v>
      </c>
      <c r="J27" s="10">
        <f>C16</f>
        <v>0</v>
      </c>
      <c r="K27" s="10">
        <f>D16</f>
        <v>0</v>
      </c>
      <c r="L27" s="10">
        <f>E16</f>
        <v>0</v>
      </c>
      <c r="M27" s="10">
        <f>F16</f>
        <v>0</v>
      </c>
      <c r="N27" s="10">
        <f>G16</f>
        <v>0</v>
      </c>
    </row>
    <row r="28" spans="1:14">
      <c r="A28" s="3" t="s">
        <v>124</v>
      </c>
      <c r="B28" s="10">
        <f>maint_gondola</f>
        <v>0</v>
      </c>
      <c r="C28" s="10">
        <f>maint_gondola</f>
        <v>0</v>
      </c>
      <c r="D28" s="10">
        <f>maint_gondola</f>
        <v>0</v>
      </c>
      <c r="I28" s="10">
        <f>B16</f>
        <v>0</v>
      </c>
      <c r="J28" s="10">
        <f>C16</f>
        <v>0</v>
      </c>
      <c r="K28" s="10">
        <f>D16</f>
        <v>0</v>
      </c>
      <c r="L28" s="10">
        <f>E16</f>
        <v>0</v>
      </c>
      <c r="M28" s="10">
        <f>F16</f>
        <v>0</v>
      </c>
      <c r="N28" s="10">
        <f>G16</f>
        <v>0</v>
      </c>
    </row>
    <row r="29" spans="1:14">
      <c r="A29" s="3" t="s">
        <v>125</v>
      </c>
      <c r="B29" s="10">
        <f>B24*ins</f>
        <v>0</v>
      </c>
      <c r="C29" s="10">
        <f>C24*ins</f>
        <v>0</v>
      </c>
      <c r="D29" s="10">
        <f>D24*ins</f>
        <v>0</v>
      </c>
      <c r="I29" s="10">
        <f>B16</f>
        <v>0</v>
      </c>
      <c r="J29" s="10">
        <f>C16</f>
        <v>0</v>
      </c>
      <c r="K29" s="10">
        <f>D16</f>
        <v>0</v>
      </c>
      <c r="L29" s="10">
        <f>E16</f>
        <v>0</v>
      </c>
      <c r="M29" s="10">
        <f>F16</f>
        <v>0</v>
      </c>
      <c r="N29" s="10">
        <f>G16</f>
        <v>0</v>
      </c>
    </row>
    <row r="30" spans="1:14">
      <c r="A30" s="3" t="s">
        <v>126</v>
      </c>
      <c r="B30" s="10">
        <f>B28+B29</f>
        <v>0</v>
      </c>
      <c r="C30" s="10">
        <f>C28+C29</f>
        <v>0</v>
      </c>
      <c r="D30" s="10">
        <f>D28+D29</f>
        <v>0</v>
      </c>
      <c r="I30" s="10">
        <f>B16</f>
        <v>0</v>
      </c>
      <c r="J30" s="10">
        <f>C16</f>
        <v>0</v>
      </c>
      <c r="K30" s="10">
        <f>D16</f>
        <v>0</v>
      </c>
      <c r="L30" s="10">
        <f>E16</f>
        <v>0</v>
      </c>
      <c r="M30" s="10">
        <f>F16</f>
        <v>0</v>
      </c>
      <c r="N30" s="10">
        <f>G16</f>
        <v>0</v>
      </c>
    </row>
    <row r="31" spans="1:14">
      <c r="A31" s="9" t="s">
        <v>127</v>
      </c>
      <c r="B31" s="11">
        <f>B27-B30</f>
        <v>0</v>
      </c>
      <c r="C31" s="11">
        <f>C27-C30</f>
        <v>0</v>
      </c>
      <c r="D31" s="11">
        <f>D27-D30</f>
        <v>0</v>
      </c>
      <c r="I31" s="10">
        <f>B16</f>
        <v>0</v>
      </c>
      <c r="J31" s="10">
        <f>C16</f>
        <v>0</v>
      </c>
      <c r="K31" s="10">
        <f>D16</f>
        <v>0</v>
      </c>
      <c r="L31" s="10">
        <f>E16</f>
        <v>0</v>
      </c>
      <c r="M31" s="10">
        <f>F16</f>
        <v>0</v>
      </c>
      <c r="N31" s="10">
        <f>G16</f>
        <v>0</v>
      </c>
    </row>
    <row r="32" spans="1:14">
      <c r="A32" s="3" t="s">
        <v>128</v>
      </c>
      <c r="B32" s="10">
        <f>B24*(1-residual)/life</f>
        <v>0</v>
      </c>
      <c r="C32" s="10">
        <f>C24*(1-residual)/life</f>
        <v>0</v>
      </c>
      <c r="D32" s="10">
        <f>D24*(1-residual)/life</f>
        <v>0</v>
      </c>
      <c r="I32" s="10">
        <f>B16</f>
        <v>0</v>
      </c>
      <c r="J32" s="10">
        <f>C16</f>
        <v>0</v>
      </c>
      <c r="K32" s="10">
        <f>D16</f>
        <v>0</v>
      </c>
      <c r="L32" s="10">
        <f>E16</f>
        <v>0</v>
      </c>
      <c r="M32" s="10">
        <f>F16</f>
        <v>0</v>
      </c>
      <c r="N32" s="10">
        <f>G16</f>
        <v>0</v>
      </c>
    </row>
    <row r="33" spans="1:14">
      <c r="A33" s="3" t="s">
        <v>108</v>
      </c>
      <c r="B33" s="10">
        <f>B31-B32</f>
        <v>0</v>
      </c>
      <c r="C33" s="10">
        <f>C31-C32</f>
        <v>0</v>
      </c>
      <c r="D33" s="10">
        <f>D31-D32</f>
        <v>0</v>
      </c>
      <c r="I33" s="10">
        <f>B16</f>
        <v>0</v>
      </c>
      <c r="J33" s="10">
        <f>C16</f>
        <v>0</v>
      </c>
      <c r="K33" s="10">
        <f>D16</f>
        <v>0</v>
      </c>
      <c r="L33" s="10">
        <f>E16</f>
        <v>0</v>
      </c>
      <c r="M33" s="10">
        <f>F16</f>
        <v>0</v>
      </c>
      <c r="N33" s="10">
        <f>G16</f>
        <v>0</v>
      </c>
    </row>
    <row r="34" spans="1:14">
      <c r="A34" s="3" t="s">
        <v>109</v>
      </c>
      <c r="B34" s="10">
        <f>MAX(B33,0)*tax</f>
        <v>0</v>
      </c>
      <c r="C34" s="10">
        <f>MAX(C33,0)*tax</f>
        <v>0</v>
      </c>
      <c r="D34" s="10">
        <f>MAX(D33,0)*tax</f>
        <v>0</v>
      </c>
      <c r="I34" s="10">
        <f>B16+B4*residual</f>
        <v>0</v>
      </c>
      <c r="J34" s="10">
        <f>C16+C4*residual</f>
        <v>0</v>
      </c>
      <c r="K34" s="10">
        <f>D16+D4*residual</f>
        <v>0</v>
      </c>
      <c r="L34" s="10">
        <f>E16</f>
        <v>0</v>
      </c>
      <c r="M34" s="10">
        <f>F16</f>
        <v>0</v>
      </c>
      <c r="N34" s="10">
        <f>G16</f>
        <v>0</v>
      </c>
    </row>
    <row r="35" spans="1:14">
      <c r="A35" s="3" t="s">
        <v>110</v>
      </c>
      <c r="B35" s="10">
        <f>B33-B34</f>
        <v>0</v>
      </c>
      <c r="C35" s="10">
        <f>C33-C34</f>
        <v>0</v>
      </c>
      <c r="D35" s="10">
        <f>D33-D34</f>
        <v>0</v>
      </c>
      <c r="I35" s="10">
        <f>""</f>
        <v>0</v>
      </c>
      <c r="J35" s="10">
        <f>""</f>
        <v>0</v>
      </c>
      <c r="K35" s="10">
        <f>""</f>
        <v>0</v>
      </c>
      <c r="L35" s="10">
        <f>E16</f>
        <v>0</v>
      </c>
      <c r="M35" s="10">
        <f>F16</f>
        <v>0</v>
      </c>
      <c r="N35" s="10">
        <f>G16</f>
        <v>0</v>
      </c>
    </row>
    <row r="36" spans="1:14">
      <c r="A36" s="3" t="s">
        <v>111</v>
      </c>
      <c r="B36" s="11">
        <f>B31-B34</f>
        <v>0</v>
      </c>
      <c r="C36" s="11">
        <f>C31-C34</f>
        <v>0</v>
      </c>
      <c r="D36" s="11">
        <f>D31-D34</f>
        <v>0</v>
      </c>
      <c r="I36" s="10">
        <f>""</f>
        <v>0</v>
      </c>
      <c r="J36" s="10">
        <f>""</f>
        <v>0</v>
      </c>
      <c r="K36" s="10">
        <f>""</f>
        <v>0</v>
      </c>
      <c r="L36" s="10">
        <f>E16+E4*residual</f>
        <v>0</v>
      </c>
      <c r="M36" s="10">
        <f>F16+F4*residual</f>
        <v>0</v>
      </c>
      <c r="N36" s="10">
        <f>G16+G4*residual</f>
        <v>0</v>
      </c>
    </row>
    <row r="37" spans="1:14">
      <c r="A37" s="9" t="s">
        <v>112</v>
      </c>
      <c r="B37" s="12">
        <f>IF(B31&lt;=0,"не окупается",B24/B31)</f>
        <v>0</v>
      </c>
      <c r="C37" s="12">
        <f>IF(C31&lt;=0,"не окупается",C24/C31)</f>
        <v>0</v>
      </c>
      <c r="D37" s="12">
        <f>IF(D31&lt;=0,"не окупается",D24/D31)</f>
        <v>0</v>
      </c>
    </row>
    <row r="38" spans="1:14">
      <c r="A38" s="9" t="s">
        <v>115</v>
      </c>
      <c r="B38" s="14">
        <f>IRR(I41:I73)</f>
        <v>0</v>
      </c>
      <c r="C38" s="14">
        <f>IRR(J41:J73)</f>
        <v>0</v>
      </c>
      <c r="D38" s="14">
        <f>IRR(K41:K73)</f>
        <v>0</v>
      </c>
    </row>
    <row r="39" spans="1:14">
      <c r="A39" s="3" t="s">
        <v>116</v>
      </c>
      <c r="B39" s="14">
        <f>IF(B24=0,NA(),B36/B24)</f>
        <v>0</v>
      </c>
      <c r="C39" s="14">
        <f>IF(C24=0,NA(),C36/C24)</f>
        <v>0</v>
      </c>
      <c r="D39" s="14">
        <f>IF(D24=0,NA(),D36/D24)</f>
        <v>0</v>
      </c>
    </row>
    <row r="40" spans="1:14">
      <c r="A40" s="3" t="s">
        <v>117</v>
      </c>
      <c r="B40" s="11">
        <f>NPV(nbk,I42:I73)+I41</f>
        <v>0</v>
      </c>
      <c r="C40" s="11">
        <f>NPV(nbk,J42:J73)+J41</f>
        <v>0</v>
      </c>
      <c r="D40" s="11">
        <f>NPV(nbk,K42:K73)+K41</f>
        <v>0</v>
      </c>
    </row>
    <row r="41" spans="1:14">
      <c r="A41" s="5" t="s">
        <v>129</v>
      </c>
      <c r="I41" s="10">
        <f>-B24</f>
        <v>0</v>
      </c>
      <c r="J41" s="10">
        <f>-C24</f>
        <v>0</v>
      </c>
      <c r="K41" s="10">
        <f>-D24</f>
        <v>0</v>
      </c>
    </row>
    <row r="42" spans="1:14">
      <c r="I42" s="10">
        <f>B36</f>
        <v>0</v>
      </c>
      <c r="J42" s="10">
        <f>C36</f>
        <v>0</v>
      </c>
      <c r="K42" s="10">
        <f>D36</f>
        <v>0</v>
      </c>
    </row>
    <row r="43" spans="1:14">
      <c r="I43" s="10">
        <f>B36</f>
        <v>0</v>
      </c>
      <c r="J43" s="10">
        <f>C36</f>
        <v>0</v>
      </c>
      <c r="K43" s="10">
        <f>D36</f>
        <v>0</v>
      </c>
    </row>
    <row r="44" spans="1:14">
      <c r="I44" s="10">
        <f>B36</f>
        <v>0</v>
      </c>
      <c r="J44" s="10">
        <f>C36</f>
        <v>0</v>
      </c>
      <c r="K44" s="10">
        <f>D36</f>
        <v>0</v>
      </c>
    </row>
    <row r="45" spans="1:14">
      <c r="I45" s="10">
        <f>B36</f>
        <v>0</v>
      </c>
      <c r="J45" s="10">
        <f>C36</f>
        <v>0</v>
      </c>
      <c r="K45" s="10">
        <f>D36</f>
        <v>0</v>
      </c>
    </row>
    <row r="46" spans="1:14">
      <c r="I46" s="10">
        <f>B36</f>
        <v>0</v>
      </c>
      <c r="J46" s="10">
        <f>C36</f>
        <v>0</v>
      </c>
      <c r="K46" s="10">
        <f>D36</f>
        <v>0</v>
      </c>
    </row>
    <row r="47" spans="1:14">
      <c r="I47" s="10">
        <f>B36</f>
        <v>0</v>
      </c>
      <c r="J47" s="10">
        <f>C36</f>
        <v>0</v>
      </c>
      <c r="K47" s="10">
        <f>D36</f>
        <v>0</v>
      </c>
    </row>
    <row r="48" spans="1:14">
      <c r="I48" s="10">
        <f>B36</f>
        <v>0</v>
      </c>
      <c r="J48" s="10">
        <f>C36</f>
        <v>0</v>
      </c>
      <c r="K48" s="10">
        <f>D36</f>
        <v>0</v>
      </c>
    </row>
    <row r="49" spans="9:11">
      <c r="I49" s="10">
        <f>B36</f>
        <v>0</v>
      </c>
      <c r="J49" s="10">
        <f>C36</f>
        <v>0</v>
      </c>
      <c r="K49" s="10">
        <f>D36</f>
        <v>0</v>
      </c>
    </row>
    <row r="50" spans="9:11">
      <c r="I50" s="10">
        <f>B36</f>
        <v>0</v>
      </c>
      <c r="J50" s="10">
        <f>C36</f>
        <v>0</v>
      </c>
      <c r="K50" s="10">
        <f>D36</f>
        <v>0</v>
      </c>
    </row>
    <row r="51" spans="9:11">
      <c r="I51" s="10">
        <f>B36</f>
        <v>0</v>
      </c>
      <c r="J51" s="10">
        <f>C36</f>
        <v>0</v>
      </c>
      <c r="K51" s="10">
        <f>D36</f>
        <v>0</v>
      </c>
    </row>
    <row r="52" spans="9:11">
      <c r="I52" s="10">
        <f>B36</f>
        <v>0</v>
      </c>
      <c r="J52" s="10">
        <f>C36</f>
        <v>0</v>
      </c>
      <c r="K52" s="10">
        <f>D36</f>
        <v>0</v>
      </c>
    </row>
    <row r="53" spans="9:11">
      <c r="I53" s="10">
        <f>B36</f>
        <v>0</v>
      </c>
      <c r="J53" s="10">
        <f>C36</f>
        <v>0</v>
      </c>
      <c r="K53" s="10">
        <f>D36</f>
        <v>0</v>
      </c>
    </row>
    <row r="54" spans="9:11">
      <c r="I54" s="10">
        <f>B36</f>
        <v>0</v>
      </c>
      <c r="J54" s="10">
        <f>C36</f>
        <v>0</v>
      </c>
      <c r="K54" s="10">
        <f>D36</f>
        <v>0</v>
      </c>
    </row>
    <row r="55" spans="9:11">
      <c r="I55" s="10">
        <f>B36</f>
        <v>0</v>
      </c>
      <c r="J55" s="10">
        <f>C36</f>
        <v>0</v>
      </c>
      <c r="K55" s="10">
        <f>D36</f>
        <v>0</v>
      </c>
    </row>
    <row r="56" spans="9:11">
      <c r="I56" s="10">
        <f>B36</f>
        <v>0</v>
      </c>
      <c r="J56" s="10">
        <f>C36</f>
        <v>0</v>
      </c>
      <c r="K56" s="10">
        <f>D36</f>
        <v>0</v>
      </c>
    </row>
    <row r="57" spans="9:11">
      <c r="I57" s="10">
        <f>B36</f>
        <v>0</v>
      </c>
      <c r="J57" s="10">
        <f>C36</f>
        <v>0</v>
      </c>
      <c r="K57" s="10">
        <f>D36</f>
        <v>0</v>
      </c>
    </row>
    <row r="58" spans="9:11">
      <c r="I58" s="10">
        <f>B36</f>
        <v>0</v>
      </c>
      <c r="J58" s="10">
        <f>C36</f>
        <v>0</v>
      </c>
      <c r="K58" s="10">
        <f>D36</f>
        <v>0</v>
      </c>
    </row>
    <row r="59" spans="9:11">
      <c r="I59" s="10">
        <f>B36</f>
        <v>0</v>
      </c>
      <c r="J59" s="10">
        <f>C36</f>
        <v>0</v>
      </c>
      <c r="K59" s="10">
        <f>D36</f>
        <v>0</v>
      </c>
    </row>
    <row r="60" spans="9:11">
      <c r="I60" s="10">
        <f>B36</f>
        <v>0</v>
      </c>
      <c r="J60" s="10">
        <f>C36</f>
        <v>0</v>
      </c>
      <c r="K60" s="10">
        <f>D36</f>
        <v>0</v>
      </c>
    </row>
    <row r="61" spans="9:11">
      <c r="I61" s="10">
        <f>B36</f>
        <v>0</v>
      </c>
      <c r="J61" s="10">
        <f>C36</f>
        <v>0</v>
      </c>
      <c r="K61" s="10">
        <f>D36</f>
        <v>0</v>
      </c>
    </row>
    <row r="62" spans="9:11">
      <c r="I62" s="10">
        <f>B36</f>
        <v>0</v>
      </c>
      <c r="J62" s="10">
        <f>C36</f>
        <v>0</v>
      </c>
      <c r="K62" s="10">
        <f>D36</f>
        <v>0</v>
      </c>
    </row>
    <row r="63" spans="9:11">
      <c r="I63" s="10">
        <f>B36</f>
        <v>0</v>
      </c>
      <c r="J63" s="10">
        <f>C36</f>
        <v>0</v>
      </c>
      <c r="K63" s="10">
        <f>D36</f>
        <v>0</v>
      </c>
    </row>
    <row r="64" spans="9:11">
      <c r="I64" s="10">
        <f>B36</f>
        <v>0</v>
      </c>
      <c r="J64" s="10">
        <f>C36</f>
        <v>0</v>
      </c>
      <c r="K64" s="10">
        <f>D36</f>
        <v>0</v>
      </c>
    </row>
    <row r="65" spans="9:11">
      <c r="I65" s="10">
        <f>B36</f>
        <v>0</v>
      </c>
      <c r="J65" s="10">
        <f>C36</f>
        <v>0</v>
      </c>
      <c r="K65" s="10">
        <f>D36</f>
        <v>0</v>
      </c>
    </row>
    <row r="66" spans="9:11">
      <c r="I66" s="10">
        <f>B36</f>
        <v>0</v>
      </c>
      <c r="J66" s="10">
        <f>C36</f>
        <v>0</v>
      </c>
      <c r="K66" s="10">
        <f>D36</f>
        <v>0</v>
      </c>
    </row>
    <row r="67" spans="9:11">
      <c r="I67" s="10">
        <f>B36</f>
        <v>0</v>
      </c>
      <c r="J67" s="10">
        <f>C36</f>
        <v>0</v>
      </c>
      <c r="K67" s="10">
        <f>D36</f>
        <v>0</v>
      </c>
    </row>
    <row r="68" spans="9:11">
      <c r="I68" s="10">
        <f>B36</f>
        <v>0</v>
      </c>
      <c r="J68" s="10">
        <f>C36</f>
        <v>0</v>
      </c>
      <c r="K68" s="10">
        <f>D36</f>
        <v>0</v>
      </c>
    </row>
    <row r="69" spans="9:11">
      <c r="I69" s="10">
        <f>B36</f>
        <v>0</v>
      </c>
      <c r="J69" s="10">
        <f>C36</f>
        <v>0</v>
      </c>
      <c r="K69" s="10">
        <f>D36</f>
        <v>0</v>
      </c>
    </row>
    <row r="70" spans="9:11">
      <c r="I70" s="10">
        <f>B36</f>
        <v>0</v>
      </c>
      <c r="J70" s="10">
        <f>C36</f>
        <v>0</v>
      </c>
      <c r="K70" s="10">
        <f>D36</f>
        <v>0</v>
      </c>
    </row>
    <row r="71" spans="9:11">
      <c r="I71" s="10">
        <f>B36</f>
        <v>0</v>
      </c>
      <c r="J71" s="10">
        <f>C36</f>
        <v>0</v>
      </c>
      <c r="K71" s="10">
        <f>D36</f>
        <v>0</v>
      </c>
    </row>
    <row r="72" spans="9:11">
      <c r="I72" s="10">
        <f>B36</f>
        <v>0</v>
      </c>
      <c r="J72" s="10">
        <f>C36</f>
        <v>0</v>
      </c>
      <c r="K72" s="10">
        <f>D36</f>
        <v>0</v>
      </c>
    </row>
    <row r="73" spans="9:11">
      <c r="I73" s="10">
        <f>B36+B24*residual</f>
        <v>0</v>
      </c>
      <c r="J73" s="10">
        <f>C36+C24*residual</f>
        <v>0</v>
      </c>
      <c r="K73" s="10">
        <f>D36+D24*residual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cols>
    <col min="1" max="1" width="52.7109375" customWidth="1"/>
    <col min="2" max="3" width="22.7109375" customWidth="1"/>
  </cols>
  <sheetData>
    <row r="1" spans="1:3">
      <c r="A1" s="1" t="s">
        <v>130</v>
      </c>
    </row>
    <row r="2" spans="1:3">
      <c r="A2" s="5" t="s">
        <v>131</v>
      </c>
    </row>
    <row r="4" spans="1:3">
      <c r="A4" s="2" t="s">
        <v>92</v>
      </c>
      <c r="B4" s="2" t="s">
        <v>132</v>
      </c>
      <c r="C4" s="2" t="s">
        <v>133</v>
      </c>
    </row>
    <row r="5" spans="1:3">
      <c r="A5" s="3" t="s">
        <v>134</v>
      </c>
      <c r="B5" s="10">
        <f>q1_grain</f>
        <v>0</v>
      </c>
      <c r="C5" s="10">
        <f>q2_grain</f>
        <v>0</v>
      </c>
    </row>
    <row r="6" spans="1:3">
      <c r="A6" s="3" t="s">
        <v>135</v>
      </c>
      <c r="B6" s="10">
        <f>q1_covered</f>
        <v>0</v>
      </c>
      <c r="C6" s="10">
        <f>q2_covered</f>
        <v>0</v>
      </c>
    </row>
    <row r="7" spans="1:3">
      <c r="A7" s="3" t="s">
        <v>136</v>
      </c>
      <c r="B7" s="10">
        <f>q1_gondola</f>
        <v>0</v>
      </c>
      <c r="C7" s="10">
        <f>q2_gondola</f>
        <v>0</v>
      </c>
    </row>
    <row r="8" spans="1:3">
      <c r="A8" s="9" t="s">
        <v>137</v>
      </c>
      <c r="B8" s="11">
        <f>B5*price_grain+B6*price_covered+B7*price_gondola</f>
        <v>0</v>
      </c>
      <c r="C8" s="11">
        <f>C5*price_grain+C6*price_covered+C7*price_gondola</f>
        <v>0</v>
      </c>
    </row>
    <row r="9" spans="1:3">
      <c r="A9" s="3" t="s">
        <v>138</v>
      </c>
      <c r="B9" s="10">
        <f>B8/1000000</f>
        <v>0</v>
      </c>
      <c r="C9" s="10">
        <f>C8/1000000</f>
        <v>0</v>
      </c>
    </row>
    <row r="10" spans="1:3">
      <c r="A10" s="3" t="s">
        <v>102</v>
      </c>
      <c r="B10" s="10">
        <f>B5*'Юнит'!C7+B6*'Юнит'!F7+B7*'Юнит'!C27</f>
        <v>0</v>
      </c>
      <c r="C10" s="10">
        <f>C5*'Юнит'!C7+C6*'Юнит'!F7+C7*'Юнит'!C27</f>
        <v>0</v>
      </c>
    </row>
    <row r="11" spans="1:3">
      <c r="A11" s="9" t="s">
        <v>139</v>
      </c>
      <c r="B11" s="11">
        <f>B5*'Юнит'!C11+B6*'Юнит'!F11+B7*'Юнит'!C31</f>
        <v>0</v>
      </c>
      <c r="C11" s="11">
        <f>C5*'Юнит'!C11+C6*'Юнит'!F11+C7*'Юнит'!C31</f>
        <v>0</v>
      </c>
    </row>
    <row r="12" spans="1:3">
      <c r="A12" s="3" t="s">
        <v>140</v>
      </c>
      <c r="B12" s="10">
        <f>overhead_small</f>
        <v>0</v>
      </c>
      <c r="C12" s="10">
        <f>overhead_small</f>
        <v>0</v>
      </c>
    </row>
    <row r="13" spans="1:3">
      <c r="A13" s="9" t="s">
        <v>141</v>
      </c>
      <c r="B13" s="11">
        <f>B11-B12</f>
        <v>0</v>
      </c>
      <c r="C13" s="11">
        <f>C11-C12</f>
        <v>0</v>
      </c>
    </row>
    <row r="14" spans="1:3">
      <c r="A14" s="3" t="s">
        <v>142</v>
      </c>
      <c r="B14" s="10">
        <f>IF(B11&lt;=0,"не окупается",B8/B11)</f>
        <v>0</v>
      </c>
      <c r="C14" s="10">
        <f>IF(C11&lt;=0,"не окупается",C8/C11)</f>
        <v>0</v>
      </c>
    </row>
    <row r="15" spans="1:3">
      <c r="A15" s="9" t="s">
        <v>143</v>
      </c>
      <c r="B15" s="10">
        <f>IF(B13&lt;=0,"не окупается",B8/B13)</f>
        <v>0</v>
      </c>
      <c r="C15" s="10">
        <f>IF(C13&lt;=0,"не окупается",C8/C13)</f>
        <v>0</v>
      </c>
    </row>
    <row r="16" spans="1:3">
      <c r="A16" s="5" t="s">
        <v>144</v>
      </c>
    </row>
    <row r="17" spans="1:3" ht="32" customHeight="1"/>
    <row r="18" spans="1:3">
      <c r="A18" s="1" t="s">
        <v>145</v>
      </c>
    </row>
    <row r="20" spans="1:3">
      <c r="A20" s="2" t="s">
        <v>92</v>
      </c>
      <c r="B20" s="2" t="s">
        <v>132</v>
      </c>
      <c r="C20" s="2" t="s">
        <v>133</v>
      </c>
    </row>
    <row r="21" spans="1:3">
      <c r="A21" s="3" t="s">
        <v>139</v>
      </c>
      <c r="B21" s="11">
        <f>B5*'Юнит'!D11+B6*'Юнит'!G11+B7*'Юнит'!D31</f>
        <v>0</v>
      </c>
      <c r="C21" s="11">
        <f>C5*'Юнит'!D11+C6*'Юнит'!G11+C7*'Юнит'!D31</f>
        <v>0</v>
      </c>
    </row>
    <row r="22" spans="1:3">
      <c r="A22" s="3" t="s">
        <v>141</v>
      </c>
      <c r="B22" s="11">
        <f>B21-B12</f>
        <v>0</v>
      </c>
      <c r="C22" s="11">
        <f>C21-C12</f>
        <v>0</v>
      </c>
    </row>
    <row r="23" spans="1:3">
      <c r="A23" s="3" t="s">
        <v>143</v>
      </c>
      <c r="B23" s="12">
        <f>IF(B22&lt;=0,"не окупается",B8/B22)</f>
        <v>0</v>
      </c>
      <c r="C23" s="12">
        <f>IF(C22&lt;=0,"не окупается",C8/C22)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cols>
    <col min="1" max="1" width="62.7109375" customWidth="1"/>
    <col min="2" max="4" width="18.7109375" customWidth="1"/>
  </cols>
  <sheetData>
    <row r="1" spans="1:4">
      <c r="A1" s="1" t="s">
        <v>146</v>
      </c>
    </row>
    <row r="2" spans="1:4">
      <c r="A2" s="5" t="s">
        <v>147</v>
      </c>
    </row>
    <row r="4" spans="1:4">
      <c r="A4" s="2" t="s">
        <v>148</v>
      </c>
      <c r="B4" s="2" t="s">
        <v>149</v>
      </c>
      <c r="C4" s="2" t="s">
        <v>150</v>
      </c>
      <c r="D4" s="2" t="s">
        <v>119</v>
      </c>
    </row>
    <row r="5" spans="1:4">
      <c r="A5" s="3" t="s">
        <v>151</v>
      </c>
      <c r="B5" s="10">
        <f>'Юнит'!C6</f>
        <v>0</v>
      </c>
      <c r="C5" s="10">
        <f>'Юнит'!F6</f>
        <v>0</v>
      </c>
      <c r="D5" s="10">
        <f>'Юнит'!C26</f>
        <v>0</v>
      </c>
    </row>
    <row r="6" spans="1:4">
      <c r="A6" s="3" t="s">
        <v>105</v>
      </c>
      <c r="B6" s="10">
        <f>'Юнит'!C10</f>
        <v>0</v>
      </c>
      <c r="C6" s="10">
        <f>'Юнит'!F10</f>
        <v>0</v>
      </c>
      <c r="D6" s="10">
        <f>'Юнит'!C30</f>
        <v>0</v>
      </c>
    </row>
    <row r="7" spans="1:4">
      <c r="A7" s="9" t="s">
        <v>152</v>
      </c>
      <c r="B7" s="10">
        <f>B6/B5</f>
        <v>0</v>
      </c>
      <c r="C7" s="10">
        <f>C6/C5</f>
        <v>0</v>
      </c>
      <c r="D7" s="10">
        <f>D6/D5</f>
        <v>0</v>
      </c>
    </row>
    <row r="8" spans="1:4">
      <c r="A8" s="3" t="s">
        <v>153</v>
      </c>
      <c r="B8" s="10">
        <f>('Юнит'!C4/8+B6)/B5</f>
        <v>0</v>
      </c>
      <c r="C8" s="10">
        <f>('Юнит'!F4/8+C6)/C5</f>
        <v>0</v>
      </c>
      <c r="D8" s="10">
        <f>('Юнит'!C24/8+D6)/D5</f>
        <v>0</v>
      </c>
    </row>
    <row r="9" spans="1:4">
      <c r="A9" s="3" t="s">
        <v>154</v>
      </c>
      <c r="B9" s="10">
        <f>('Юнит'!C4/10+B6)/B5</f>
        <v>0</v>
      </c>
      <c r="C9" s="10">
        <f>('Юнит'!F4/10+C6)/C5</f>
        <v>0</v>
      </c>
      <c r="D9" s="10">
        <f>('Юнит'!C24/10+D6)/D5</f>
        <v>0</v>
      </c>
    </row>
    <row r="10" spans="1:4">
      <c r="A10" s="9" t="s">
        <v>155</v>
      </c>
      <c r="B10" s="10">
        <f>('Юнит'!C4/12+B6)/B5</f>
        <v>0</v>
      </c>
      <c r="C10" s="10">
        <f>('Юнит'!F4/12+C6)/C5</f>
        <v>0</v>
      </c>
      <c r="D10" s="10">
        <f>('Юнит'!C24/12+D6)/D5</f>
        <v>0</v>
      </c>
    </row>
    <row r="11" spans="1:4">
      <c r="A11" s="3" t="s">
        <v>156</v>
      </c>
      <c r="B11" s="10">
        <f>('Юнит'!C4/15+B6)/B5</f>
        <v>0</v>
      </c>
      <c r="C11" s="10">
        <f>('Юнит'!F4/15+C6)/C5</f>
        <v>0</v>
      </c>
      <c r="D11" s="10">
        <f>('Юнит'!C24/15+D6)/D5</f>
        <v>0</v>
      </c>
    </row>
    <row r="12" spans="1:4">
      <c r="A12" s="3" t="s">
        <v>157</v>
      </c>
      <c r="B12" s="3" t="s">
        <v>158</v>
      </c>
      <c r="C12" s="3" t="s">
        <v>159</v>
      </c>
      <c r="D12" s="10">
        <v>6686</v>
      </c>
    </row>
    <row r="13" spans="1:4">
      <c r="A13" s="5" t="s">
        <v>160</v>
      </c>
    </row>
    <row r="14" spans="1:4" ht="32" customHeight="1"/>
    <row r="15" spans="1:4">
      <c r="A15" s="5" t="s">
        <v>161</v>
      </c>
    </row>
    <row r="17" spans="1:3">
      <c r="A17" s="2" t="s">
        <v>162</v>
      </c>
      <c r="B17" s="2" t="s">
        <v>163</v>
      </c>
      <c r="C17" s="2" t="s">
        <v>122</v>
      </c>
    </row>
    <row r="18" spans="1:3">
      <c r="A18" s="3" t="s">
        <v>99</v>
      </c>
      <c r="B18" s="10">
        <f>price_grain*used_coef</f>
        <v>0</v>
      </c>
      <c r="C18" s="10">
        <f>B18</f>
        <v>0</v>
      </c>
    </row>
    <row r="19" spans="1:3">
      <c r="A19" s="3" t="s">
        <v>103</v>
      </c>
      <c r="B19" s="10">
        <f>maint_grain*(1+maint_used_uplift)</f>
        <v>0</v>
      </c>
      <c r="C19" s="10">
        <f>B19</f>
        <v>0</v>
      </c>
    </row>
    <row r="20" spans="1:3">
      <c r="A20" s="3" t="s">
        <v>126</v>
      </c>
      <c r="B20" s="10">
        <f>B19+B18*ins</f>
        <v>0</v>
      </c>
      <c r="C20" s="10">
        <f>C19+C18*ins</f>
        <v>0</v>
      </c>
    </row>
    <row r="21" spans="1:3">
      <c r="A21" s="3" t="s">
        <v>123</v>
      </c>
      <c r="B21" s="10">
        <f>g_rate_b*g_days_b</f>
        <v>0</v>
      </c>
      <c r="C21" s="10">
        <f>g_rate_o*g_days_o</f>
        <v>0</v>
      </c>
    </row>
    <row r="22" spans="1:3">
      <c r="A22" s="3" t="s">
        <v>127</v>
      </c>
      <c r="B22" s="11">
        <f>B21-B20</f>
        <v>0</v>
      </c>
      <c r="C22" s="11">
        <f>C21-C20</f>
        <v>0</v>
      </c>
    </row>
    <row r="23" spans="1:3">
      <c r="A23" s="3" t="s">
        <v>112</v>
      </c>
      <c r="B23" s="12">
        <f>IF(B22&lt;=0,"не окупается",B18/B22)</f>
        <v>0</v>
      </c>
      <c r="C23" s="12">
        <f>IF(C22&lt;=0,"не окупается",C18/C22)</f>
        <v>0</v>
      </c>
    </row>
    <row r="24" spans="1:3">
      <c r="A24" s="3" t="s">
        <v>107</v>
      </c>
      <c r="B24" s="10">
        <f>B18*(1-residual)/life_used</f>
        <v>0</v>
      </c>
      <c r="C24" s="10">
        <f>C18*(1-residual)/life_used</f>
        <v>0</v>
      </c>
    </row>
    <row r="25" spans="1:3">
      <c r="A25" s="3" t="s">
        <v>108</v>
      </c>
      <c r="B25" s="10">
        <f>B22-B24</f>
        <v>0</v>
      </c>
      <c r="C25" s="10">
        <f>C22-C24</f>
        <v>0</v>
      </c>
    </row>
    <row r="26" spans="1:3">
      <c r="A26" s="3" t="s">
        <v>109</v>
      </c>
      <c r="B26" s="10">
        <f>MAX(B25,0)*tax</f>
        <v>0</v>
      </c>
      <c r="C26" s="10">
        <f>MAX(C25,0)*tax</f>
        <v>0</v>
      </c>
    </row>
    <row r="27" spans="1:3">
      <c r="A27" s="3" t="s">
        <v>111</v>
      </c>
      <c r="B27" s="11">
        <f>B22-B26</f>
        <v>0</v>
      </c>
      <c r="C27" s="11">
        <f>C22-C26</f>
        <v>0</v>
      </c>
    </row>
    <row r="28" spans="1:3">
      <c r="A28" s="3" t="s">
        <v>116</v>
      </c>
      <c r="B28" s="14">
        <f>IF(B18=0,NA(),B27/B18)</f>
        <v>0</v>
      </c>
      <c r="C28" s="14">
        <f>IF(C18=0,NA(),C27/C18)</f>
        <v>0</v>
      </c>
    </row>
    <row r="29" spans="1:3">
      <c r="A29" s="3" t="s">
        <v>164</v>
      </c>
      <c r="B29" s="14">
        <f>IRR(H40:H72)</f>
        <v>0</v>
      </c>
      <c r="C29" s="14">
        <f>IRR(I40:I72)</f>
        <v>0</v>
      </c>
    </row>
    <row r="30" spans="1:3">
      <c r="A30" s="3" t="s">
        <v>117</v>
      </c>
      <c r="B30" s="11">
        <f>NPV(nbk,H41:H72)+H40</f>
        <v>0</v>
      </c>
      <c r="C30" s="11">
        <f>NPV(nbk,I41:I72)+I40</f>
        <v>0</v>
      </c>
    </row>
    <row r="32" spans="1:3">
      <c r="A32" s="5" t="s">
        <v>165</v>
      </c>
    </row>
    <row r="39" spans="8:9">
      <c r="H39" s="2" t="s">
        <v>166</v>
      </c>
      <c r="I39" s="2" t="s">
        <v>167</v>
      </c>
    </row>
    <row r="40" spans="8:9">
      <c r="H40" s="10">
        <f>-B18</f>
        <v>0</v>
      </c>
      <c r="I40" s="10">
        <f>-C18</f>
        <v>0</v>
      </c>
    </row>
    <row r="41" spans="8:9">
      <c r="H41" s="10">
        <f>IF(1&gt;life_used,"",IF(1=life_used,B27+B18*residual,B27))</f>
        <v>0</v>
      </c>
      <c r="I41" s="10">
        <f>IF(1&gt;life_used,"",IF(1=life_used,C27+C18*residual,C27))</f>
        <v>0</v>
      </c>
    </row>
    <row r="42" spans="8:9">
      <c r="H42" s="10">
        <f>IF(2&gt;life_used,"",IF(2=life_used,B27+B18*residual,B27))</f>
        <v>0</v>
      </c>
      <c r="I42" s="10">
        <f>IF(2&gt;life_used,"",IF(2=life_used,C27+C18*residual,C27))</f>
        <v>0</v>
      </c>
    </row>
    <row r="43" spans="8:9">
      <c r="H43" s="10">
        <f>IF(3&gt;life_used,"",IF(3=life_used,B27+B18*residual,B27))</f>
        <v>0</v>
      </c>
      <c r="I43" s="10">
        <f>IF(3&gt;life_used,"",IF(3=life_used,C27+C18*residual,C27))</f>
        <v>0</v>
      </c>
    </row>
    <row r="44" spans="8:9">
      <c r="H44" s="10">
        <f>IF(4&gt;life_used,"",IF(4=life_used,B27+B18*residual,B27))</f>
        <v>0</v>
      </c>
      <c r="I44" s="10">
        <f>IF(4&gt;life_used,"",IF(4=life_used,C27+C18*residual,C27))</f>
        <v>0</v>
      </c>
    </row>
    <row r="45" spans="8:9">
      <c r="H45" s="10">
        <f>IF(5&gt;life_used,"",IF(5=life_used,B27+B18*residual,B27))</f>
        <v>0</v>
      </c>
      <c r="I45" s="10">
        <f>IF(5&gt;life_used,"",IF(5=life_used,C27+C18*residual,C27))</f>
        <v>0</v>
      </c>
    </row>
    <row r="46" spans="8:9">
      <c r="H46" s="10">
        <f>IF(6&gt;life_used,"",IF(6=life_used,B27+B18*residual,B27))</f>
        <v>0</v>
      </c>
      <c r="I46" s="10">
        <f>IF(6&gt;life_used,"",IF(6=life_used,C27+C18*residual,C27))</f>
        <v>0</v>
      </c>
    </row>
    <row r="47" spans="8:9">
      <c r="H47" s="10">
        <f>IF(7&gt;life_used,"",IF(7=life_used,B27+B18*residual,B27))</f>
        <v>0</v>
      </c>
      <c r="I47" s="10">
        <f>IF(7&gt;life_used,"",IF(7=life_used,C27+C18*residual,C27))</f>
        <v>0</v>
      </c>
    </row>
    <row r="48" spans="8:9">
      <c r="H48" s="10">
        <f>IF(8&gt;life_used,"",IF(8=life_used,B27+B18*residual,B27))</f>
        <v>0</v>
      </c>
      <c r="I48" s="10">
        <f>IF(8&gt;life_used,"",IF(8=life_used,C27+C18*residual,C27))</f>
        <v>0</v>
      </c>
    </row>
    <row r="49" spans="8:9">
      <c r="H49" s="10">
        <f>IF(9&gt;life_used,"",IF(9=life_used,B27+B18*residual,B27))</f>
        <v>0</v>
      </c>
      <c r="I49" s="10">
        <f>IF(9&gt;life_used,"",IF(9=life_used,C27+C18*residual,C27))</f>
        <v>0</v>
      </c>
    </row>
    <row r="50" spans="8:9">
      <c r="H50" s="10">
        <f>IF(10&gt;life_used,"",IF(10=life_used,B27+B18*residual,B27))</f>
        <v>0</v>
      </c>
      <c r="I50" s="10">
        <f>IF(10&gt;life_used,"",IF(10=life_used,C27+C18*residual,C27))</f>
        <v>0</v>
      </c>
    </row>
    <row r="51" spans="8:9">
      <c r="H51" s="10">
        <f>IF(11&gt;life_used,"",IF(11=life_used,B27+B18*residual,B27))</f>
        <v>0</v>
      </c>
      <c r="I51" s="10">
        <f>IF(11&gt;life_used,"",IF(11=life_used,C27+C18*residual,C27))</f>
        <v>0</v>
      </c>
    </row>
    <row r="52" spans="8:9">
      <c r="H52" s="10">
        <f>IF(12&gt;life_used,"",IF(12=life_used,B27+B18*residual,B27))</f>
        <v>0</v>
      </c>
      <c r="I52" s="10">
        <f>IF(12&gt;life_used,"",IF(12=life_used,C27+C18*residual,C27))</f>
        <v>0</v>
      </c>
    </row>
    <row r="53" spans="8:9">
      <c r="H53" s="10">
        <f>IF(13&gt;life_used,"",IF(13=life_used,B27+B18*residual,B27))</f>
        <v>0</v>
      </c>
      <c r="I53" s="10">
        <f>IF(13&gt;life_used,"",IF(13=life_used,C27+C18*residual,C27))</f>
        <v>0</v>
      </c>
    </row>
    <row r="54" spans="8:9">
      <c r="H54" s="10">
        <f>IF(14&gt;life_used,"",IF(14=life_used,B27+B18*residual,B27))</f>
        <v>0</v>
      </c>
      <c r="I54" s="10">
        <f>IF(14&gt;life_used,"",IF(14=life_used,C27+C18*residual,C27))</f>
        <v>0</v>
      </c>
    </row>
    <row r="55" spans="8:9">
      <c r="H55" s="10">
        <f>IF(15&gt;life_used,"",IF(15=life_used,B27+B18*residual,B27))</f>
        <v>0</v>
      </c>
      <c r="I55" s="10">
        <f>IF(15&gt;life_used,"",IF(15=life_used,C27+C18*residual,C27))</f>
        <v>0</v>
      </c>
    </row>
    <row r="56" spans="8:9">
      <c r="H56" s="10">
        <f>IF(16&gt;life_used,"",IF(16=life_used,B27+B18*residual,B27))</f>
        <v>0</v>
      </c>
      <c r="I56" s="10">
        <f>IF(16&gt;life_used,"",IF(16=life_used,C27+C18*residual,C27))</f>
        <v>0</v>
      </c>
    </row>
    <row r="57" spans="8:9">
      <c r="H57" s="10">
        <f>IF(17&gt;life_used,"",IF(17=life_used,B27+B18*residual,B27))</f>
        <v>0</v>
      </c>
      <c r="I57" s="10">
        <f>IF(17&gt;life_used,"",IF(17=life_used,C27+C18*residual,C27))</f>
        <v>0</v>
      </c>
    </row>
    <row r="58" spans="8:9">
      <c r="H58" s="10">
        <f>IF(18&gt;life_used,"",IF(18=life_used,B27+B18*residual,B27))</f>
        <v>0</v>
      </c>
      <c r="I58" s="10">
        <f>IF(18&gt;life_used,"",IF(18=life_used,C27+C18*residual,C27))</f>
        <v>0</v>
      </c>
    </row>
    <row r="59" spans="8:9">
      <c r="H59" s="10">
        <f>IF(19&gt;life_used,"",IF(19=life_used,B27+B18*residual,B27))</f>
        <v>0</v>
      </c>
      <c r="I59" s="10">
        <f>IF(19&gt;life_used,"",IF(19=life_used,C27+C18*residual,C27))</f>
        <v>0</v>
      </c>
    </row>
    <row r="60" spans="8:9">
      <c r="H60" s="10">
        <f>IF(20&gt;life_used,"",IF(20=life_used,B27+B18*residual,B27))</f>
        <v>0</v>
      </c>
      <c r="I60" s="10">
        <f>IF(20&gt;life_used,"",IF(20=life_used,C27+C18*residual,C27))</f>
        <v>0</v>
      </c>
    </row>
    <row r="61" spans="8:9">
      <c r="H61" s="10">
        <f>IF(21&gt;life_used,"",IF(21=life_used,B27+B18*residual,B27))</f>
        <v>0</v>
      </c>
      <c r="I61" s="10">
        <f>IF(21&gt;life_used,"",IF(21=life_used,C27+C18*residual,C27))</f>
        <v>0</v>
      </c>
    </row>
    <row r="62" spans="8:9">
      <c r="H62" s="10">
        <f>IF(22&gt;life_used,"",IF(22=life_used,B27+B18*residual,B27))</f>
        <v>0</v>
      </c>
      <c r="I62" s="10">
        <f>IF(22&gt;life_used,"",IF(22=life_used,C27+C18*residual,C27))</f>
        <v>0</v>
      </c>
    </row>
    <row r="63" spans="8:9">
      <c r="H63" s="10">
        <f>IF(23&gt;life_used,"",IF(23=life_used,B27+B18*residual,B27))</f>
        <v>0</v>
      </c>
      <c r="I63" s="10">
        <f>IF(23&gt;life_used,"",IF(23=life_used,C27+C18*residual,C27))</f>
        <v>0</v>
      </c>
    </row>
    <row r="64" spans="8:9">
      <c r="H64" s="10">
        <f>IF(24&gt;life_used,"",IF(24=life_used,B27+B18*residual,B27))</f>
        <v>0</v>
      </c>
      <c r="I64" s="10">
        <f>IF(24&gt;life_used,"",IF(24=life_used,C27+C18*residual,C27))</f>
        <v>0</v>
      </c>
    </row>
    <row r="65" spans="8:9">
      <c r="H65" s="10">
        <f>IF(25&gt;life_used,"",IF(25=life_used,B27+B18*residual,B27))</f>
        <v>0</v>
      </c>
      <c r="I65" s="10">
        <f>IF(25&gt;life_used,"",IF(25=life_used,C27+C18*residual,C27))</f>
        <v>0</v>
      </c>
    </row>
    <row r="66" spans="8:9">
      <c r="H66" s="10">
        <f>IF(26&gt;life_used,"",IF(26=life_used,B27+B18*residual,B27))</f>
        <v>0</v>
      </c>
      <c r="I66" s="10">
        <f>IF(26&gt;life_used,"",IF(26=life_used,C27+C18*residual,C27))</f>
        <v>0</v>
      </c>
    </row>
    <row r="67" spans="8:9">
      <c r="H67" s="10">
        <f>IF(27&gt;life_used,"",IF(27=life_used,B27+B18*residual,B27))</f>
        <v>0</v>
      </c>
      <c r="I67" s="10">
        <f>IF(27&gt;life_used,"",IF(27=life_used,C27+C18*residual,C27))</f>
        <v>0</v>
      </c>
    </row>
    <row r="68" spans="8:9">
      <c r="H68" s="10">
        <f>IF(28&gt;life_used,"",IF(28=life_used,B27+B18*residual,B27))</f>
        <v>0</v>
      </c>
      <c r="I68" s="10">
        <f>IF(28&gt;life_used,"",IF(28=life_used,C27+C18*residual,C27))</f>
        <v>0</v>
      </c>
    </row>
    <row r="69" spans="8:9">
      <c r="H69" s="10">
        <f>IF(29&gt;life_used,"",IF(29=life_used,B27+B18*residual,B27))</f>
        <v>0</v>
      </c>
      <c r="I69" s="10">
        <f>IF(29&gt;life_used,"",IF(29=life_used,C27+C18*residual,C27))</f>
        <v>0</v>
      </c>
    </row>
    <row r="70" spans="8:9">
      <c r="H70" s="10">
        <f>IF(30&gt;life_used,"",IF(30=life_used,B27+B18*residual,B27))</f>
        <v>0</v>
      </c>
      <c r="I70" s="10">
        <f>IF(30&gt;life_used,"",IF(30=life_used,C27+C18*residual,C27))</f>
        <v>0</v>
      </c>
    </row>
    <row r="71" spans="8:9">
      <c r="H71" s="10">
        <f>IF(31&gt;life_used,"",IF(31=life_used,B27+B18*residual,B27))</f>
        <v>0</v>
      </c>
      <c r="I71" s="10">
        <f>IF(31&gt;life_used,"",IF(31=life_used,C27+C18*residual,C27))</f>
        <v>0</v>
      </c>
    </row>
    <row r="72" spans="8:9">
      <c r="H72" s="10">
        <f>IF(32&gt;life_used,"",IF(32=life_used,B27+B18*residual,B27))</f>
        <v>0</v>
      </c>
      <c r="I72" s="10">
        <f>IF(32&gt;life_used,"",IF(32=life_used,C27+C18*residual,C27))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42.7109375" customWidth="1"/>
    <col min="2" max="6" width="16.7109375" customWidth="1"/>
  </cols>
  <sheetData>
    <row r="1" spans="1:6">
      <c r="A1" s="1" t="s">
        <v>168</v>
      </c>
    </row>
    <row r="2" spans="1:6">
      <c r="A2" s="5" t="s">
        <v>169</v>
      </c>
    </row>
    <row r="4" spans="1:6">
      <c r="A4" s="2"/>
      <c r="B4" s="2">
        <v>20</v>
      </c>
      <c r="C4" s="2">
        <v>50</v>
      </c>
      <c r="D4" s="2">
        <v>100</v>
      </c>
      <c r="E4" s="2">
        <v>300</v>
      </c>
      <c r="F4" s="2">
        <v>500</v>
      </c>
    </row>
    <row r="5" spans="1:6">
      <c r="A5" s="3" t="s">
        <v>170</v>
      </c>
      <c r="B5" s="10">
        <f>overhead_small</f>
        <v>0</v>
      </c>
      <c r="C5" s="10">
        <f>overhead_small</f>
        <v>0</v>
      </c>
      <c r="D5" s="10">
        <f>overhead_100</f>
        <v>0</v>
      </c>
      <c r="E5" s="10">
        <f>overhead_300</f>
        <v>0</v>
      </c>
      <c r="F5" s="10">
        <f>overhead_500</f>
        <v>0</v>
      </c>
    </row>
    <row r="6" spans="1:6">
      <c r="A6" s="3" t="s">
        <v>171</v>
      </c>
      <c r="B6" s="10">
        <f>B5</f>
        <v>0</v>
      </c>
      <c r="C6" s="10">
        <f>C5</f>
        <v>0</v>
      </c>
      <c r="D6" s="10">
        <f>D5</f>
        <v>0</v>
      </c>
      <c r="E6" s="10">
        <f>E5</f>
        <v>0</v>
      </c>
      <c r="F6" s="10">
        <f>F5</f>
        <v>0</v>
      </c>
    </row>
    <row r="8" spans="1:6">
      <c r="A8" s="3" t="s">
        <v>172</v>
      </c>
      <c r="B8" s="10">
        <f>20*((price_grain+price_covered+price_gondola)/3)</f>
        <v>0</v>
      </c>
      <c r="C8" s="10">
        <f>50*((price_grain+price_covered+price_gondola)/3)</f>
        <v>0</v>
      </c>
      <c r="D8" s="10">
        <f>100*((price_grain+price_covered+price_gondola)/3)</f>
        <v>0</v>
      </c>
      <c r="E8" s="10">
        <f>300*((price_grain+price_covered+price_gondola)/3)</f>
        <v>0</v>
      </c>
      <c r="F8" s="10">
        <f>500*((price_grain+price_covered+price_gondola)/3)</f>
        <v>0</v>
      </c>
    </row>
    <row r="9" spans="1:6">
      <c r="A9" s="3" t="s">
        <v>173</v>
      </c>
      <c r="B9" s="10">
        <f>20*(('Юнит'!C11+'Юнит'!F11+'Юнит'!C31)/3)</f>
        <v>0</v>
      </c>
      <c r="C9" s="10">
        <f>50*(('Юнит'!C11+'Юнит'!F11+'Юнит'!C31)/3)</f>
        <v>0</v>
      </c>
      <c r="D9" s="10">
        <f>100*(('Юнит'!C11+'Юнит'!F11+'Юнит'!C31)/3)</f>
        <v>0</v>
      </c>
      <c r="E9" s="10">
        <f>300*(('Юнит'!C11+'Юнит'!F11+'Юнит'!C31)/3)</f>
        <v>0</v>
      </c>
      <c r="F9" s="10">
        <f>500*(('Юнит'!C11+'Юнит'!F11+'Юнит'!C31)/3)</f>
        <v>0</v>
      </c>
    </row>
    <row r="10" spans="1:6">
      <c r="A10" s="3" t="s">
        <v>174</v>
      </c>
      <c r="B10" s="11">
        <f>B9-B6</f>
        <v>0</v>
      </c>
      <c r="C10" s="11">
        <f>C9-C6</f>
        <v>0</v>
      </c>
      <c r="D10" s="11">
        <f>D9-D6</f>
        <v>0</v>
      </c>
      <c r="E10" s="11">
        <f>E9-E6</f>
        <v>0</v>
      </c>
      <c r="F10" s="11">
        <f>F9-F6</f>
        <v>0</v>
      </c>
    </row>
    <row r="11" spans="1:6">
      <c r="A11" s="3" t="s">
        <v>143</v>
      </c>
      <c r="B11" s="12">
        <f>IF(B10&lt;=0,"не окупается",B8/B10)</f>
        <v>0</v>
      </c>
      <c r="C11" s="12">
        <f>IF(C10&lt;=0,"не окупается",C8/C10)</f>
        <v>0</v>
      </c>
      <c r="D11" s="12">
        <f>IF(D10&lt;=0,"не окупается",D8/D10)</f>
        <v>0</v>
      </c>
      <c r="E11" s="12">
        <f>IF(E10&lt;=0,"не окупается",E8/E10)</f>
        <v>0</v>
      </c>
      <c r="F11" s="12">
        <f>IF(F10&lt;=0,"не окупается",F8/F10)</f>
        <v>0</v>
      </c>
    </row>
    <row r="13" spans="1:6">
      <c r="A13" s="3" t="s">
        <v>175</v>
      </c>
      <c r="B13" s="10">
        <f>20*price_grain</f>
        <v>0</v>
      </c>
      <c r="C13" s="10">
        <f>50*price_grain</f>
        <v>0</v>
      </c>
      <c r="D13" s="10">
        <f>100*price_grain</f>
        <v>0</v>
      </c>
      <c r="E13" s="10">
        <f>300*price_grain</f>
        <v>0</v>
      </c>
      <c r="F13" s="10">
        <f>500*price_grain</f>
        <v>0</v>
      </c>
    </row>
    <row r="14" spans="1:6">
      <c r="A14" s="3" t="s">
        <v>176</v>
      </c>
      <c r="B14" s="10">
        <f>20*'Юнит'!C11</f>
        <v>0</v>
      </c>
      <c r="C14" s="10">
        <f>50*'Юнит'!C11</f>
        <v>0</v>
      </c>
      <c r="D14" s="10">
        <f>100*'Юнит'!C11</f>
        <v>0</v>
      </c>
      <c r="E14" s="10">
        <f>300*'Юнит'!C11</f>
        <v>0</v>
      </c>
      <c r="F14" s="10">
        <f>500*'Юнит'!C11</f>
        <v>0</v>
      </c>
    </row>
    <row r="15" spans="1:6">
      <c r="A15" s="3" t="s">
        <v>177</v>
      </c>
      <c r="B15" s="11">
        <f>B14-B6</f>
        <v>0</v>
      </c>
      <c r="C15" s="11">
        <f>C14-C6</f>
        <v>0</v>
      </c>
      <c r="D15" s="11">
        <f>D14-D6</f>
        <v>0</v>
      </c>
      <c r="E15" s="11">
        <f>E14-E6</f>
        <v>0</v>
      </c>
      <c r="F15" s="11">
        <f>F14-F6</f>
        <v>0</v>
      </c>
    </row>
    <row r="16" spans="1:6">
      <c r="A16" s="3" t="s">
        <v>143</v>
      </c>
      <c r="B16" s="12">
        <f>IF(B15&lt;=0,"не окупается",B13/B15)</f>
        <v>0</v>
      </c>
      <c r="C16" s="12">
        <f>IF(C15&lt;=0,"не окупается",C13/C15)</f>
        <v>0</v>
      </c>
      <c r="D16" s="12">
        <f>IF(D15&lt;=0,"не окупается",D13/D15)</f>
        <v>0</v>
      </c>
      <c r="E16" s="12">
        <f>IF(E15&lt;=0,"не окупается",E13/E15)</f>
        <v>0</v>
      </c>
      <c r="F16" s="12">
        <f>IF(F15&lt;=0,"не окупается",F13/F15)</f>
        <v>0</v>
      </c>
    </row>
    <row r="17" spans="1:1">
      <c r="A17" s="5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55.7109375" customWidth="1"/>
    <col min="2" max="5" width="20.7109375" customWidth="1"/>
  </cols>
  <sheetData>
    <row r="1" spans="1:5">
      <c r="A1" s="1" t="s">
        <v>179</v>
      </c>
    </row>
    <row r="3" spans="1:5">
      <c r="A3" s="2"/>
      <c r="B3" s="2" t="s">
        <v>180</v>
      </c>
      <c r="C3" s="2" t="s">
        <v>181</v>
      </c>
      <c r="D3" s="2" t="s">
        <v>182</v>
      </c>
      <c r="E3" s="2" t="s">
        <v>183</v>
      </c>
    </row>
    <row r="4" spans="1:5">
      <c r="A4" s="3" t="s">
        <v>184</v>
      </c>
      <c r="B4" s="10">
        <f>price_grain</f>
        <v>0</v>
      </c>
      <c r="C4" s="10">
        <f>price_grain*loan_share</f>
        <v>0</v>
      </c>
      <c r="D4" s="10">
        <f>price_grain*0.8</f>
        <v>0</v>
      </c>
      <c r="E4" s="3" t="s">
        <v>185</v>
      </c>
    </row>
    <row r="5" spans="1:5">
      <c r="A5" s="3" t="s">
        <v>186</v>
      </c>
      <c r="B5" s="10">
        <f>price_grain</f>
        <v>0</v>
      </c>
      <c r="C5" s="10">
        <f>price_grain*(1-loan_share)</f>
        <v>0</v>
      </c>
      <c r="D5" s="10">
        <f>price_grain*0.2</f>
        <v>0</v>
      </c>
      <c r="E5" s="3" t="s">
        <v>187</v>
      </c>
    </row>
    <row r="6" spans="1:5">
      <c r="A6" s="3" t="s">
        <v>188</v>
      </c>
      <c r="B6" s="3" t="s">
        <v>189</v>
      </c>
      <c r="C6" s="13">
        <f>nbk+bank_spread</f>
        <v>0</v>
      </c>
      <c r="D6" s="13">
        <v>0.22</v>
      </c>
      <c r="E6" s="3" t="s">
        <v>190</v>
      </c>
    </row>
    <row r="7" spans="1:5">
      <c r="A7" s="3" t="s">
        <v>191</v>
      </c>
      <c r="B7" s="10">
        <v>0</v>
      </c>
      <c r="C7" s="10">
        <f>PMT(C6,loan_years,-C4)</f>
        <v>0</v>
      </c>
      <c r="D7" s="10">
        <f>PMT(D6,loan_years,-D4)</f>
        <v>0</v>
      </c>
      <c r="E7" s="10">
        <f>g_rate_b*365</f>
        <v>0</v>
      </c>
    </row>
    <row r="8" spans="1:5">
      <c r="A8" s="3" t="s">
        <v>192</v>
      </c>
      <c r="B8" s="11">
        <f>'Юнит'!C11</f>
        <v>0</v>
      </c>
      <c r="C8" s="11">
        <f>'Юнит'!C11</f>
        <v>0</v>
      </c>
      <c r="D8" s="11">
        <f>'Юнит'!C11</f>
        <v>0</v>
      </c>
      <c r="E8" s="3" t="s">
        <v>193</v>
      </c>
    </row>
    <row r="9" spans="1:5">
      <c r="A9" s="3" t="s">
        <v>194</v>
      </c>
      <c r="B9" s="11">
        <f>B8-B7</f>
        <v>0</v>
      </c>
      <c r="C9" s="11">
        <f>C8-C7</f>
        <v>0</v>
      </c>
      <c r="D9" s="11">
        <f>D8-D7</f>
        <v>0</v>
      </c>
    </row>
    <row r="10" spans="1:5">
      <c r="A10" s="3" t="s">
        <v>195</v>
      </c>
      <c r="B10" s="3" t="s">
        <v>189</v>
      </c>
      <c r="C10" s="12">
        <f>IF(C7=0,"—",C8/C7)</f>
        <v>0</v>
      </c>
      <c r="D10" s="12">
        <f>IF(D7=0,"—",D8/D7)</f>
        <v>0</v>
      </c>
    </row>
    <row r="11" spans="1:5">
      <c r="A11" s="3" t="s">
        <v>196</v>
      </c>
      <c r="B11" s="14">
        <f>IF(B5=0,NA(),B9/B5)</f>
        <v>0</v>
      </c>
      <c r="C11" s="14">
        <f>IF(C5=0,NA(),C9/C5)</f>
        <v>0</v>
      </c>
      <c r="D11" s="14">
        <f>IF(D5=0,NA(),D9/D5)</f>
        <v>0</v>
      </c>
    </row>
    <row r="12" spans="1:5">
      <c r="A12" s="3" t="s">
        <v>197</v>
      </c>
      <c r="B12" s="10">
        <v>0</v>
      </c>
      <c r="C12" s="10">
        <f>PMT(C6/12,loan_years*12,-C4)</f>
        <v>0</v>
      </c>
      <c r="D12" s="10">
        <f>PMT(D6/12,loan_years*12,-D4)</f>
        <v>0</v>
      </c>
    </row>
    <row r="13" spans="1:5" ht="64" customHeight="1">
      <c r="A13" s="5" t="s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cols>
    <col min="1" max="1" width="28.7109375" customWidth="1"/>
    <col min="2" max="2" width="110.7109375" customWidth="1"/>
  </cols>
  <sheetData>
    <row r="1" spans="1:2">
      <c r="A1" s="1" t="s">
        <v>199</v>
      </c>
    </row>
    <row r="3" spans="1:2">
      <c r="A3" s="2" t="s">
        <v>200</v>
      </c>
      <c r="B3" s="2" t="s">
        <v>201</v>
      </c>
    </row>
    <row r="4" spans="1:2" ht="36" customHeight="1">
      <c r="A4" s="9" t="s">
        <v>202</v>
      </c>
      <c r="B4" s="5" t="s">
        <v>203</v>
      </c>
    </row>
    <row r="5" spans="1:2" ht="36" customHeight="1">
      <c r="A5" s="9" t="s">
        <v>204</v>
      </c>
      <c r="B5" s="5" t="s">
        <v>205</v>
      </c>
    </row>
    <row r="6" spans="1:2" ht="36" customHeight="1">
      <c r="A6" s="9" t="s">
        <v>206</v>
      </c>
      <c r="B6" s="5" t="s">
        <v>207</v>
      </c>
    </row>
    <row r="7" spans="1:2" ht="36" customHeight="1">
      <c r="A7" s="9" t="s">
        <v>208</v>
      </c>
      <c r="B7" s="5" t="s">
        <v>209</v>
      </c>
    </row>
    <row r="8" spans="1:2" ht="36" customHeight="1">
      <c r="A8" s="9" t="s">
        <v>210</v>
      </c>
      <c r="B8" s="5" t="s">
        <v>211</v>
      </c>
    </row>
    <row r="9" spans="1:2" ht="36" customHeight="1">
      <c r="A9" s="9" t="s">
        <v>212</v>
      </c>
      <c r="B9" s="5" t="s">
        <v>213</v>
      </c>
    </row>
    <row r="10" spans="1:2" ht="36" customHeight="1">
      <c r="A10" s="9" t="s">
        <v>214</v>
      </c>
      <c r="B10" s="5" t="s">
        <v>215</v>
      </c>
    </row>
    <row r="11" spans="1:2" ht="36" customHeight="1">
      <c r="A11" s="9" t="s">
        <v>216</v>
      </c>
      <c r="B11" s="5" t="s">
        <v>217</v>
      </c>
    </row>
    <row r="12" spans="1:2" ht="36" customHeight="1">
      <c r="A12" s="9" t="s">
        <v>218</v>
      </c>
      <c r="B12" s="5" t="s">
        <v>219</v>
      </c>
    </row>
    <row r="13" spans="1:2" ht="36" customHeight="1">
      <c r="A13" s="9" t="s">
        <v>220</v>
      </c>
      <c r="B13" s="5" t="s">
        <v>221</v>
      </c>
    </row>
    <row r="14" spans="1:2" ht="36" customHeight="1">
      <c r="A14" s="9" t="s">
        <v>222</v>
      </c>
      <c r="B14" s="5" t="s">
        <v>223</v>
      </c>
    </row>
    <row r="15" spans="1:2" ht="36" customHeight="1">
      <c r="A15" s="9" t="s">
        <v>224</v>
      </c>
      <c r="B15" s="5" t="s">
        <v>225</v>
      </c>
    </row>
    <row r="16" spans="1:2" ht="36" customHeight="1">
      <c r="A16" s="9" t="s">
        <v>226</v>
      </c>
      <c r="B16" s="5" t="s">
        <v>227</v>
      </c>
    </row>
    <row r="17" spans="1:2" ht="36" customHeight="1">
      <c r="A17" s="9" t="s">
        <v>228</v>
      </c>
      <c r="B17" s="5" t="s">
        <v>229</v>
      </c>
    </row>
    <row r="18" spans="1:2" ht="36" customHeight="1">
      <c r="A18" s="9" t="s">
        <v>230</v>
      </c>
      <c r="B18" s="5" t="s">
        <v>231</v>
      </c>
    </row>
    <row r="19" spans="1:2" ht="36" customHeight="1">
      <c r="A19" s="9" t="s">
        <v>232</v>
      </c>
      <c r="B19" s="5" t="s">
        <v>233</v>
      </c>
    </row>
    <row r="20" spans="1:2" ht="36" customHeight="1">
      <c r="A20" s="9" t="s">
        <v>234</v>
      </c>
      <c r="B20" s="5" t="s">
        <v>235</v>
      </c>
    </row>
    <row r="21" spans="1:2" ht="36" customHeight="1">
      <c r="A21" s="9" t="s">
        <v>236</v>
      </c>
      <c r="B21" s="5" t="s">
        <v>237</v>
      </c>
    </row>
    <row r="22" spans="1:2" ht="36" customHeight="1">
      <c r="A22" s="9" t="s">
        <v>238</v>
      </c>
      <c r="B22" s="5" t="s">
        <v>239</v>
      </c>
    </row>
    <row r="23" spans="1:2" ht="36" customHeight="1">
      <c r="A23" s="9" t="s">
        <v>240</v>
      </c>
      <c r="B23" s="5" t="s">
        <v>241</v>
      </c>
    </row>
    <row r="24" spans="1:2" ht="36" customHeight="1">
      <c r="A24" s="9" t="s">
        <v>242</v>
      </c>
      <c r="B24" s="5" t="s">
        <v>243</v>
      </c>
    </row>
    <row r="25" spans="1:2" ht="36" customHeight="1">
      <c r="A25" s="9" t="s">
        <v>244</v>
      </c>
      <c r="B25" s="5" t="s">
        <v>245</v>
      </c>
    </row>
    <row r="26" spans="1:2" ht="36" customHeight="1">
      <c r="A26" s="9" t="s">
        <v>246</v>
      </c>
      <c r="B26" s="5" t="s">
        <v>247</v>
      </c>
    </row>
    <row r="27" spans="1:2" ht="36" customHeight="1">
      <c r="A27" s="9" t="s">
        <v>248</v>
      </c>
      <c r="B27" s="5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120.7109375" customWidth="1"/>
  </cols>
  <sheetData>
    <row r="1" spans="1:1">
      <c r="A1" s="1" t="s">
        <v>250</v>
      </c>
    </row>
    <row r="3" spans="1:1">
      <c r="A3" s="3" t="s">
        <v>251</v>
      </c>
    </row>
    <row r="4" spans="1:1">
      <c r="A4" s="3" t="s">
        <v>252</v>
      </c>
    </row>
    <row r="5" spans="1:1">
      <c r="A5" s="3" t="s">
        <v>253</v>
      </c>
    </row>
    <row r="6" spans="1:1">
      <c r="A6" s="3" t="s">
        <v>254</v>
      </c>
    </row>
    <row r="7" spans="1:1">
      <c r="A7" s="3" t="s">
        <v>255</v>
      </c>
    </row>
    <row r="8" spans="1:1">
      <c r="A8" s="3" t="s">
        <v>256</v>
      </c>
    </row>
    <row r="10" spans="1:1">
      <c r="A10" s="9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Вводы</vt:lpstr>
      <vt:lpstr>Юнит</vt:lpstr>
      <vt:lpstr>Портфель</vt:lpstr>
      <vt:lpstr>Барьер</vt:lpstr>
      <vt:lpstr>Масштаб</vt:lpstr>
      <vt:lpstr>Финансирование</vt:lpstr>
      <vt:lpstr>Источники</vt:lpstr>
      <vt:lpstr>Как пользоваться</vt:lpstr>
      <vt:lpstr>bank_spread</vt:lpstr>
      <vt:lpstr>c_days_b</vt:lpstr>
      <vt:lpstr>c_days_c</vt:lpstr>
      <vt:lpstr>c_days_o</vt:lpstr>
      <vt:lpstr>c_rate_b</vt:lpstr>
      <vt:lpstr>c_rate_c</vt:lpstr>
      <vt:lpstr>c_rate_o</vt:lpstr>
      <vt:lpstr>fx</vt:lpstr>
      <vt:lpstr>g_days_b</vt:lpstr>
      <vt:lpstr>g_days_c</vt:lpstr>
      <vt:lpstr>g_days_o</vt:lpstr>
      <vt:lpstr>g_rate_b</vt:lpstr>
      <vt:lpstr>g_rate_c</vt:lpstr>
      <vt:lpstr>g_rate_o</vt:lpstr>
      <vt:lpstr>ins</vt:lpstr>
      <vt:lpstr>life</vt:lpstr>
      <vt:lpstr>life_hopper</vt:lpstr>
      <vt:lpstr>life_used</vt:lpstr>
      <vt:lpstr>loan_share</vt:lpstr>
      <vt:lpstr>loan_years</vt:lpstr>
      <vt:lpstr>maint_covered</vt:lpstr>
      <vt:lpstr>maint_gondola</vt:lpstr>
      <vt:lpstr>maint_grain</vt:lpstr>
      <vt:lpstr>maint_used_uplift</vt:lpstr>
      <vt:lpstr>nbk</vt:lpstr>
      <vt:lpstr>overhead_100</vt:lpstr>
      <vt:lpstr>overhead_300</vt:lpstr>
      <vt:lpstr>overhead_500</vt:lpstr>
      <vt:lpstr>overhead_small</vt:lpstr>
      <vt:lpstr>p_days_b</vt:lpstr>
      <vt:lpstr>p_days_c</vt:lpstr>
      <vt:lpstr>p_days_o</vt:lpstr>
      <vt:lpstr>p_rate_b</vt:lpstr>
      <vt:lpstr>p_rate_c</vt:lpstr>
      <vt:lpstr>p_rate_o</vt:lpstr>
      <vt:lpstr>price_covered</vt:lpstr>
      <vt:lpstr>price_gondola</vt:lpstr>
      <vt:lpstr>price_grain</vt:lpstr>
      <vt:lpstr>q1_covered</vt:lpstr>
      <vt:lpstr>q1_gondola</vt:lpstr>
      <vt:lpstr>q1_grain</vt:lpstr>
      <vt:lpstr>q2_covered</vt:lpstr>
      <vt:lpstr>q2_gondola</vt:lpstr>
      <vt:lpstr>q2_grain</vt:lpstr>
      <vt:lpstr>residual</vt:lpstr>
      <vt:lpstr>tax</vt:lpstr>
      <vt:lpstr>used_coef</vt:lpstr>
      <vt:lpstr>vat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2026-10-09T12:28:23Z</dcterms:created>
  <dcterms:modified xsi:type="dcterms:W3CDTF">2026-10-09T12:28:23Z</dcterms:modified>
</cp:coreProperties>
</file>